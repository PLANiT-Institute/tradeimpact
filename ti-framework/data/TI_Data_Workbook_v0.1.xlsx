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Layer1_NDC_benchmark" sheetId="2" state="visible" r:id="rId4"/>
    <sheet name="Layer2_vehicle_params" sheetId="3" state="visible" r:id="rId5"/>
    <sheet name="Registration_Vcv" sheetId="4" state="visible" r:id="rId6"/>
    <sheet name="Level2_production" sheetId="5" state="visible" r:id="rId7"/>
    <sheet name="Support_params" sheetId="6" state="visible" r:id="rId8"/>
    <sheet name="Shipping_inputs" sheetId="7" state="visible" r:id="rId9"/>
    <sheet name="Power_inputs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<sst xmlns="http://schemas.openxmlformats.org/spreadsheetml/2006/main" count="296" uniqueCount="191">
  <si>
    <t xml:space="preserve">TI Framework — Integrated Data Collection Workbook</t>
  </si>
  <si>
    <t xml:space="preserve">Version</t>
  </si>
  <si>
    <t xml:space="preserve">v0.1 · template for data collection · PLANiT Institute</t>
  </si>
  <si>
    <t xml:space="preserve">Purpose</t>
  </si>
  <si>
    <t xml:space="preserve">One place to collect every input the TI scoring needs. Empty yellow cells = to be filled. White cells with values = already sourced (do not re-collect).</t>
  </si>
  <si>
    <t xml:space="preserve">Operating countries</t>
  </si>
  <si>
    <t xml:space="preserve">9 markets where products are USED (not where the firm is based): AU, US, EU-27, JP, KR, IN, ID, SA, CN. The benchmark is the OPERATING country's NDC.</t>
  </si>
  <si>
    <t xml:space="preserve">How the score uses these</t>
  </si>
  <si>
    <t xml:space="preserve">Layer 1 = the country's NDC-derived benchmark trajectory. Layer 2 = the product's own emissions. Volumes (V_c,v) weight each product-country. Level 2 = trace back to production plant.</t>
  </si>
  <si>
    <t xml:space="preserve">Status legend</t>
  </si>
  <si>
    <t xml:space="preserve">READY = sourced &amp; filled · TO COLLECT = gather from listed source · TO EXTRACT = pull from IEA scenarios · FLAG = benchmark not derivable from NDC alone</t>
  </si>
  <si>
    <t xml:space="preserve">Key constraint</t>
  </si>
  <si>
    <t xml:space="preserve">None of the 9 NDCs has an explicit transport or power EMISSIONS sub-target → pro-rata from economy-wide target is required for all. US has revoked its NDC; SA/CN/ID/IN benchmarks are not directly quantifiable (see Layer1 'Status').</t>
  </si>
  <si>
    <t xml:space="preserve">Sheets</t>
  </si>
  <si>
    <t xml:space="preserve">Layer1_NDC_benchmark · Layer2_vehicle_params · Registration_Vcv · Level2_production · Support_params · Shipping_inputs · Power_inputs</t>
  </si>
  <si>
    <t xml:space="preserve">Operating country</t>
  </si>
  <si>
    <t xml:space="preserve">Code</t>
  </si>
  <si>
    <t xml:space="preserve">Grid intensity G_c(0) gCO2/kWh (2024)</t>
  </si>
  <si>
    <t xml:space="preserve">NDC headline target</t>
  </si>
  <si>
    <t xml:space="preserve">Base yr</t>
  </si>
  <si>
    <t xml:space="preserve">Target yr</t>
  </si>
  <si>
    <t xml:space="preserve">Reduction low (frac)</t>
  </si>
  <si>
    <t xml:space="preserve">Reduction high (frac)</t>
  </si>
  <si>
    <t xml:space="preserve">Econ-wide rate low (%/yr)</t>
  </si>
  <si>
    <t xml:space="preserve">Econ-wide rate high (%/yr)</t>
  </si>
  <si>
    <t xml:space="preserve">r_fleet S1 (STEPS)</t>
  </si>
  <si>
    <t xml:space="preserve">r_fleet S2 (NDC)</t>
  </si>
  <si>
    <t xml:space="preserve">r_fleet S3 (NZE)</t>
  </si>
  <si>
    <t xml:space="preserve">r_power S1 (STEPS)</t>
  </si>
  <si>
    <t xml:space="preserve">r_power S2 (NDC)</t>
  </si>
  <si>
    <t xml:space="preserve">r_power S3 (NZE)</t>
  </si>
  <si>
    <t xml:space="preserve">Benchmark status</t>
  </si>
  <si>
    <t xml:space="preserve">Source</t>
  </si>
  <si>
    <t xml:space="preserve">Australia</t>
  </si>
  <si>
    <t xml:space="preserve">AU</t>
  </si>
  <si>
    <t xml:space="preserve">62–70% below 2005 by 2035 (2nd NDC, Sep 2025)</t>
  </si>
  <si>
    <t xml:space="preserve">COMPUTED (pro-rata pending)</t>
  </si>
  <si>
    <t xml:space="preserve">UNFCCC NDC Registry; AU 2nd NDC 2025</t>
  </si>
  <si>
    <t xml:space="preserve">United States</t>
  </si>
  <si>
    <t xml:space="preserve">US</t>
  </si>
  <si>
    <t xml:space="preserve">NO ACTIVE NDC — revoked 2025</t>
  </si>
  <si>
    <t xml:space="preserve">FLAG: no benchmark</t>
  </si>
  <si>
    <t xml:space="preserve">ClimateActionTracker (USA)</t>
  </si>
  <si>
    <t xml:space="preserve">European Union</t>
  </si>
  <si>
    <t xml:space="preserve">EU</t>
  </si>
  <si>
    <t xml:space="preserve">66.25–72.5% below 1990 by 2035</t>
  </si>
  <si>
    <t xml:space="preserve">UNFCCC; EU 2035 NDC Nov 2025</t>
  </si>
  <si>
    <t xml:space="preserve">Japan</t>
  </si>
  <si>
    <t xml:space="preserve">JP</t>
  </si>
  <si>
    <t xml:space="preserve">60% below FY2013 by FY2035</t>
  </si>
  <si>
    <t xml:space="preserve">UNFCCC; JP 2035 NDC Feb 2025</t>
  </si>
  <si>
    <t xml:space="preserve">South Korea</t>
  </si>
  <si>
    <t xml:space="preserve">KR</t>
  </si>
  <si>
    <t xml:space="preserve">53–61% below 2018 by 2035</t>
  </si>
  <si>
    <t xml:space="preserve">UNFCCC; KR 2035 NDC Dec 2025</t>
  </si>
  <si>
    <t xml:space="preserve">India</t>
  </si>
  <si>
    <t xml:space="preserve">IN</t>
  </si>
  <si>
    <t xml:space="preserve">47% cut in EMISSIONS INTENSITY of GDP vs 2005 by 2035</t>
  </si>
  <si>
    <t xml:space="preserve">FLAG: intensity target</t>
  </si>
  <si>
    <t xml:space="preserve">UNFCCC; India 2035 NDC</t>
  </si>
  <si>
    <t xml:space="preserve">Indonesia</t>
  </si>
  <si>
    <t xml:space="preserve">ID</t>
  </si>
  <si>
    <t xml:space="preserve">31.89% uncond / 43.20% cond vs BAU by 2030</t>
  </si>
  <si>
    <t xml:space="preserve">FLAG: BAU baseline</t>
  </si>
  <si>
    <t xml:space="preserve">UNFCCC; Indonesia NDC</t>
  </si>
  <si>
    <t xml:space="preserve">Saudi Arabia</t>
  </si>
  <si>
    <t xml:space="preserve">SA</t>
  </si>
  <si>
    <t xml:space="preserve">278 MtCO2e avoided/yr by 2030 vs unstated baseline</t>
  </si>
  <si>
    <t xml:space="preserve">FLAG: no baseline</t>
  </si>
  <si>
    <t xml:space="preserve">UNFCCC; KSA NDC 2021</t>
  </si>
  <si>
    <t xml:space="preserve">China</t>
  </si>
  <si>
    <t xml:space="preserve">CN</t>
  </si>
  <si>
    <t xml:space="preserve">7–10% below PEAK by 2035 (peak undefined)</t>
  </si>
  <si>
    <t xml:space="preserve">FLAG: peak undefined</t>
  </si>
  <si>
    <t xml:space="preserve">ClimateActionTracker; CN 2035 NDC Nov 2025</t>
  </si>
  <si>
    <t xml:space="preserve">Note: r_fleet/r_power S2 ≈ econ-wide rate × transport/power pro-rata factor (correction pending). S1 from IEA WEO STEPS, S3 from IEA NZE — to extract per country.</t>
  </si>
  <si>
    <t xml:space="preserve">Brand</t>
  </si>
  <si>
    <t xml:space="preserve">Model</t>
  </si>
  <si>
    <t xml:space="preserve">Powertrain (BEV/PHEV/HEV/ICE)</t>
  </si>
  <si>
    <t xml:space="preserve">Segment</t>
  </si>
  <si>
    <t xml:space="preserve">EV efficiency (kWh/km)</t>
  </si>
  <si>
    <t xml:space="preserve">ICE emission intensity (gCO2/km)</t>
  </si>
  <si>
    <t xml:space="preserve">PHEV utility factor</t>
  </si>
  <si>
    <t xml:space="preserve">Real-world correction factor</t>
  </si>
  <si>
    <t xml:space="preserve">Tier (A/B/C)</t>
  </si>
  <si>
    <t xml:space="preserve">Status</t>
  </si>
  <si>
    <t xml:space="preserve">Hyundai</t>
  </si>
  <si>
    <t xml:space="preserve">EU type-approval / EPA / KR KEA / JP MLIT</t>
  </si>
  <si>
    <t xml:space="preserve">TO COLLECT</t>
  </si>
  <si>
    <t xml:space="preserve">Kia</t>
  </si>
  <si>
    <t xml:space="preserve">Toyota</t>
  </si>
  <si>
    <t xml:space="preserve">Honda</t>
  </si>
  <si>
    <t xml:space="preserve">Nissan</t>
  </si>
  <si>
    <t xml:space="preserve">Year</t>
  </si>
  <si>
    <t xml:space="preserve">Powertrain</t>
  </si>
  <si>
    <t xml:space="preserve">Units</t>
  </si>
  <si>
    <t xml:space="preserve">Source DB</t>
  </si>
  <si>
    <t xml:space="preserve">Tier</t>
  </si>
  <si>
    <t xml:space="preserve">VFACTS (FCAI)</t>
  </si>
  <si>
    <t xml:space="preserve">A</t>
  </si>
  <si>
    <t xml:space="preserve">Germany</t>
  </si>
  <si>
    <t xml:space="preserve">DE</t>
  </si>
  <si>
    <t xml:space="preserve">KBA</t>
  </si>
  <si>
    <t xml:space="preserve">United Kingdom</t>
  </si>
  <si>
    <t xml:space="preserve">UK</t>
  </si>
  <si>
    <t xml:space="preserve">SMMT</t>
  </si>
  <si>
    <t xml:space="preserve">WardsAuto / GoodCarBadCar</t>
  </si>
  <si>
    <t xml:space="preserve">B</t>
  </si>
  <si>
    <t xml:space="preserve">KAICA</t>
  </si>
  <si>
    <t xml:space="preserve">JADA / company IR</t>
  </si>
  <si>
    <t xml:space="preserve">SIAM (segment-level)</t>
  </si>
  <si>
    <t xml:space="preserve">C</t>
  </si>
  <si>
    <t xml:space="preserve">GAIKINDO (brand-level)</t>
  </si>
  <si>
    <t xml:space="preserve">Schema: one row per country×year×brand×model×powertrain; sum to V_c,v per country. 2/3-wheelers (IN/ID) are a coverage gap — record a coverage ratio.</t>
  </si>
  <si>
    <t xml:space="preserve">Production country</t>
  </si>
  <si>
    <t xml:space="preserve">Plant</t>
  </si>
  <si>
    <t xml:space="preserve">Mapping (exact/estimated)</t>
  </si>
  <si>
    <t xml:space="preserve">Source (company IR)</t>
  </si>
  <si>
    <t xml:space="preserve">Optional (Level 2). Trace each model to the plant that built it; flag exact vs volume-ratio estimated. Only needed for production-country attribution.</t>
  </si>
  <si>
    <t xml:space="preserve">Parameter</t>
  </si>
  <si>
    <t xml:space="preserve">Sector</t>
  </si>
  <si>
    <t xml:space="preserve">Symbol</t>
  </si>
  <si>
    <t xml:space="preserve">Central value</t>
  </si>
  <si>
    <t xml:space="preserve">Sensitivity range</t>
  </si>
  <si>
    <t xml:space="preserve">Unit</t>
  </si>
  <si>
    <t xml:space="preserve">Product operational lifetime</t>
  </si>
  <si>
    <t xml:space="preserve">Automotive</t>
  </si>
  <si>
    <t xml:space="preserve">T</t>
  </si>
  <si>
    <t xml:space="preserve">±3 yr</t>
  </si>
  <si>
    <t xml:space="preserve">years</t>
  </si>
  <si>
    <t xml:space="preserve">IEA / regional fleet survival</t>
  </si>
  <si>
    <t xml:space="preserve">Annual mileage (VKT)</t>
  </si>
  <si>
    <t xml:space="preserve">VKT</t>
  </si>
  <si>
    <t xml:space="preserve">per market</t>
  </si>
  <si>
    <t xml:space="preserve">km/yr</t>
  </si>
  <si>
    <t xml:space="preserve">National statistics / IEA</t>
  </si>
  <si>
    <t xml:space="preserve">Fleet survival curve</t>
  </si>
  <si>
    <t xml:space="preserve">—</t>
  </si>
  <si>
    <t xml:space="preserve">Weibull params</t>
  </si>
  <si>
    <t xml:space="preserve">IEA regional defaults</t>
  </si>
  <si>
    <t xml:space="preserve">PHEV utility factor band</t>
  </si>
  <si>
    <t xml:space="preserve">UF</t>
  </si>
  <si>
    <t xml:space="preserve">±0.15 (real-world)</t>
  </si>
  <si>
    <t xml:space="preserve">share</t>
  </si>
  <si>
    <t xml:space="preserve">ICCT / T&amp;E real-world studies</t>
  </si>
  <si>
    <t xml:space="preserve">Real-world emission correction</t>
  </si>
  <si>
    <t xml:space="preserve">market-specific</t>
  </si>
  <si>
    <t xml:space="preserve">factor</t>
  </si>
  <si>
    <t xml:space="preserve">ICCT real-world CO2</t>
  </si>
  <si>
    <t xml:space="preserve">Vessel operating lifetime</t>
  </si>
  <si>
    <t xml:space="preserve">Shipping</t>
  </si>
  <si>
    <t xml:space="preserve">by vessel type</t>
  </si>
  <si>
    <t xml:space="preserve">Clarksons / Lloyd's</t>
  </si>
  <si>
    <t xml:space="preserve">Asset operating lifetime</t>
  </si>
  <si>
    <t xml:space="preserve">Power</t>
  </si>
  <si>
    <t xml:space="preserve">by technology</t>
  </si>
  <si>
    <t xml:space="preserve">IEA / national</t>
  </si>
  <si>
    <t xml:space="preserve">Item</t>
  </si>
  <si>
    <t xml:space="preserve">Layer</t>
  </si>
  <si>
    <t xml:space="preserve">Detail / field</t>
  </si>
  <si>
    <t xml:space="preserve">Value</t>
  </si>
  <si>
    <t xml:space="preserve">Benchmark (Layer 1)</t>
  </si>
  <si>
    <t xml:space="preserve">L1</t>
  </si>
  <si>
    <t xml:space="preserve">IMO carbon intensity indicator (CII) trajectory</t>
  </si>
  <si>
    <t xml:space="preserve">IMO GHG Strategy</t>
  </si>
  <si>
    <t xml:space="preserve">Vessel emission intensity</t>
  </si>
  <si>
    <t xml:space="preserve">L2</t>
  </si>
  <si>
    <t xml:space="preserve">by vessel type × fuel (HFO/LNG/methanol/ammonia)</t>
  </si>
  <si>
    <t xml:space="preserve">IMO GISIS / Clarksons</t>
  </si>
  <si>
    <t xml:space="preserve">Fleet composition</t>
  </si>
  <si>
    <t xml:space="preserve">vessel type &amp; fuel mix per company</t>
  </si>
  <si>
    <t xml:space="preserve">Clarksons / Lloyd's Register</t>
  </si>
  <si>
    <t xml:space="preserve">Order book</t>
  </si>
  <si>
    <t xml:space="preserve">alternative-fuel newbuilds</t>
  </si>
  <si>
    <t xml:space="preserve">Clarksons Research</t>
  </si>
  <si>
    <t xml:space="preserve">Operating routes</t>
  </si>
  <si>
    <t xml:space="preserve">Boundary</t>
  </si>
  <si>
    <t xml:space="preserve">flag-state vs voyage-weighted exposure</t>
  </si>
  <si>
    <t xml:space="preserve">IMO GISIS / IHS Markit</t>
  </si>
  <si>
    <t xml:space="preserve">operating-country grid intensity trajectory</t>
  </si>
  <si>
    <t xml:space="preserve">IEA WEO / Ember / national</t>
  </si>
  <si>
    <t xml:space="preserve">Generation by technology</t>
  </si>
  <si>
    <t xml:space="preserve">coal/gas/nuclear/solar/wind/hydro annual GWh</t>
  </si>
  <si>
    <t xml:space="preserve">OCCTO (JP) / KPX (KR) / Ember</t>
  </si>
  <si>
    <t xml:space="preserve">Per-technology emission intensity</t>
  </si>
  <si>
    <t xml:space="preserve">gCO2/kWh by technology</t>
  </si>
  <si>
    <t xml:space="preserve">IEA / company reports</t>
  </si>
  <si>
    <t xml:space="preserve">Grid intensity time series</t>
  </si>
  <si>
    <t xml:space="preserve">Context</t>
  </si>
  <si>
    <t xml:space="preserve">2015–2024 trend for cross-validation</t>
  </si>
  <si>
    <t xml:space="preserve">Ember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</si>
</sst>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4315E"/>
      <name val="Arial"/>
      <family val="0"/>
      <charset val="1"/>
    </font>
    <font>
      <b val="true"/>
      <sz val="10"/>
      <color rgb="FF14315E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666666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4315E"/>
        <bgColor rgb="FF333333"/>
      </patternFill>
    </fill>
    <fill>
      <patternFill patternType="solid">
        <fgColor rgb="FFFFF7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4315E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95"/>
  </cols>
  <sheetData>
    <row r="1" customFormat="false" ht="17.35" hidden="false" customHeight="false" outlineLevel="0" collapsed="false">
      <c r="A1" s="1" t="s">
        <v>0</v>
      </c>
    </row>
    <row r="3" customFormat="false" ht="30" hidden="false" customHeight="true" outlineLevel="0" collapsed="false">
      <c r="A3" s="2" t="s">
        <v>1</v>
      </c>
      <c r="B3" s="3" t="s">
        <v>2</v>
      </c>
    </row>
    <row r="4" customFormat="false" ht="30" hidden="false" customHeight="true" outlineLevel="0" collapsed="false">
      <c r="A4" s="2" t="s">
        <v>3</v>
      </c>
      <c r="B4" s="3" t="s">
        <v>4</v>
      </c>
    </row>
    <row r="5" customFormat="false" ht="30" hidden="false" customHeight="true" outlineLevel="0" collapsed="false">
      <c r="A5" s="2" t="s">
        <v>5</v>
      </c>
      <c r="B5" s="3" t="s">
        <v>6</v>
      </c>
    </row>
    <row r="6" customFormat="false" ht="30" hidden="false" customHeight="true" outlineLevel="0" collapsed="false">
      <c r="A6" s="2" t="s">
        <v>7</v>
      </c>
      <c r="B6" s="3" t="s">
        <v>8</v>
      </c>
    </row>
    <row r="7" customFormat="false" ht="30" hidden="false" customHeight="true" outlineLevel="0" collapsed="false">
      <c r="A7" s="2" t="s">
        <v>9</v>
      </c>
      <c r="B7" s="3" t="s">
        <v>10</v>
      </c>
    </row>
    <row r="8" customFormat="false" ht="30" hidden="false" customHeight="true" outlineLevel="0" collapsed="false">
      <c r="A8" s="2" t="s">
        <v>11</v>
      </c>
      <c r="B8" s="3" t="s">
        <v>12</v>
      </c>
    </row>
    <row r="9" customFormat="false" ht="30" hidden="false" customHeight="true" outlineLevel="0" collapsed="false">
      <c r="A9" s="2" t="s">
        <v>13</v>
      </c>
      <c r="B9" s="3" t="s">
        <v>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6"/>
    <col collapsed="false" customWidth="true" hidden="false" outlineLevel="0" max="3" min="3" style="0" width="16"/>
    <col collapsed="false" customWidth="true" hidden="false" outlineLevel="0" max="4" min="4" style="0" width="40"/>
    <col collapsed="false" customWidth="true" hidden="false" outlineLevel="0" max="6" min="5" style="0" width="8"/>
    <col collapsed="false" customWidth="true" hidden="false" outlineLevel="0" max="8" min="7" style="0" width="11"/>
    <col collapsed="false" customWidth="true" hidden="false" outlineLevel="0" max="16" min="9" style="0" width="12"/>
    <col collapsed="false" customWidth="true" hidden="false" outlineLevel="0" max="17" min="17" style="0" width="22"/>
    <col collapsed="false" customWidth="true" hidden="false" outlineLevel="0" max="18" min="18" style="0" width="34"/>
  </cols>
  <sheetData>
    <row r="1" customFormat="false" ht="30" hidden="false" customHeight="true" outlineLevel="0" collapsed="false">
      <c r="A1" s="4" t="s">
        <v>15</v>
      </c>
      <c r="B1" s="4" t="s">
        <v>16</v>
      </c>
      <c r="C1" s="4" t="s">
        <v>17</v>
      </c>
      <c r="D1" s="4" t="s">
        <v>18</v>
      </c>
      <c r="E1" s="4" t="s">
        <v>19</v>
      </c>
      <c r="F1" s="4" t="s">
        <v>20</v>
      </c>
      <c r="G1" s="4" t="s">
        <v>21</v>
      </c>
      <c r="H1" s="4" t="s">
        <v>22</v>
      </c>
      <c r="I1" s="4" t="s">
        <v>23</v>
      </c>
      <c r="J1" s="4" t="s">
        <v>24</v>
      </c>
      <c r="K1" s="4" t="s">
        <v>25</v>
      </c>
      <c r="L1" s="4" t="s">
        <v>26</v>
      </c>
      <c r="M1" s="4" t="s">
        <v>27</v>
      </c>
      <c r="N1" s="4" t="s">
        <v>28</v>
      </c>
      <c r="O1" s="4" t="s">
        <v>29</v>
      </c>
      <c r="P1" s="4" t="s">
        <v>30</v>
      </c>
      <c r="Q1" s="4" t="s">
        <v>31</v>
      </c>
      <c r="R1" s="4" t="s">
        <v>32</v>
      </c>
    </row>
    <row r="2" customFormat="false" ht="23.85" hidden="false" customHeight="false" outlineLevel="0" collapsed="false">
      <c r="A2" s="5" t="s">
        <v>33</v>
      </c>
      <c r="B2" s="5" t="s">
        <v>34</v>
      </c>
      <c r="C2" s="5" t="n">
        <v>553.83</v>
      </c>
      <c r="D2" s="5" t="s">
        <v>35</v>
      </c>
      <c r="E2" s="5" t="n">
        <v>2005</v>
      </c>
      <c r="F2" s="5" t="n">
        <v>2035</v>
      </c>
      <c r="G2" s="5" t="n">
        <v>0.62</v>
      </c>
      <c r="H2" s="5" t="n">
        <v>0.7</v>
      </c>
      <c r="I2" s="6" t="n">
        <f aca="false">IFERROR((1-(1-G2)^(1/(F2-E2)))*100,"")</f>
        <v>3.17382262873848</v>
      </c>
      <c r="J2" s="6" t="n">
        <f aca="false">IFERROR((1-(1-H2)^(1/(F2-E2)))*100,"")</f>
        <v>3.93377867047728</v>
      </c>
      <c r="K2" s="7"/>
      <c r="L2" s="7"/>
      <c r="M2" s="7"/>
      <c r="N2" s="7"/>
      <c r="O2" s="7"/>
      <c r="P2" s="7"/>
      <c r="Q2" s="5" t="s">
        <v>36</v>
      </c>
      <c r="R2" s="5" t="s">
        <v>37</v>
      </c>
    </row>
    <row r="3" customFormat="false" ht="15" hidden="false" customHeight="false" outlineLevel="0" collapsed="false">
      <c r="A3" s="5" t="s">
        <v>38</v>
      </c>
      <c r="B3" s="5" t="s">
        <v>39</v>
      </c>
      <c r="C3" s="5" t="n">
        <v>383.78</v>
      </c>
      <c r="D3" s="5" t="s">
        <v>40</v>
      </c>
      <c r="E3" s="5"/>
      <c r="F3" s="5"/>
      <c r="G3" s="5"/>
      <c r="H3" s="5"/>
      <c r="I3" s="7"/>
      <c r="J3" s="7"/>
      <c r="K3" s="7"/>
      <c r="L3" s="7"/>
      <c r="M3" s="7"/>
      <c r="N3" s="7"/>
      <c r="O3" s="7"/>
      <c r="P3" s="7"/>
      <c r="Q3" s="5" t="s">
        <v>41</v>
      </c>
      <c r="R3" s="5" t="s">
        <v>42</v>
      </c>
    </row>
    <row r="4" customFormat="false" ht="23.85" hidden="false" customHeight="false" outlineLevel="0" collapsed="false">
      <c r="A4" s="5" t="s">
        <v>43</v>
      </c>
      <c r="B4" s="5" t="s">
        <v>44</v>
      </c>
      <c r="C4" s="5" t="n">
        <v>211.35</v>
      </c>
      <c r="D4" s="5" t="s">
        <v>45</v>
      </c>
      <c r="E4" s="5" t="n">
        <v>1990</v>
      </c>
      <c r="F4" s="5" t="n">
        <v>2035</v>
      </c>
      <c r="G4" s="5" t="n">
        <v>0.6625</v>
      </c>
      <c r="H4" s="5" t="n">
        <v>0.725</v>
      </c>
      <c r="I4" s="6" t="n">
        <f aca="false">IFERROR((1-(1-G4)^(1/(F4-E4)))*100,"")</f>
        <v>2.3848569511212</v>
      </c>
      <c r="J4" s="6" t="n">
        <f aca="false">IFERROR((1-(1-H4)^(1/(F4-E4)))*100,"")</f>
        <v>2.82809284763779</v>
      </c>
      <c r="K4" s="7"/>
      <c r="L4" s="7"/>
      <c r="M4" s="7"/>
      <c r="N4" s="7"/>
      <c r="O4" s="7"/>
      <c r="P4" s="7"/>
      <c r="Q4" s="5" t="s">
        <v>36</v>
      </c>
      <c r="R4" s="5" t="s">
        <v>46</v>
      </c>
    </row>
    <row r="5" customFormat="false" ht="23.85" hidden="false" customHeight="false" outlineLevel="0" collapsed="false">
      <c r="A5" s="5" t="s">
        <v>47</v>
      </c>
      <c r="B5" s="5" t="s">
        <v>48</v>
      </c>
      <c r="C5" s="5" t="n">
        <v>483.43</v>
      </c>
      <c r="D5" s="5" t="s">
        <v>49</v>
      </c>
      <c r="E5" s="5" t="n">
        <v>2013</v>
      </c>
      <c r="F5" s="5" t="n">
        <v>2035</v>
      </c>
      <c r="G5" s="5" t="n">
        <v>0.6</v>
      </c>
      <c r="H5" s="5" t="n">
        <v>0.6</v>
      </c>
      <c r="I5" s="6" t="n">
        <f aca="false">IFERROR((1-(1-G5)^(1/(F5-E5)))*100,"")</f>
        <v>4.07941521740232</v>
      </c>
      <c r="J5" s="6" t="n">
        <f aca="false">IFERROR((1-(1-H5)^(1/(F5-E5)))*100,"")</f>
        <v>4.07941521740232</v>
      </c>
      <c r="K5" s="7"/>
      <c r="L5" s="7"/>
      <c r="M5" s="7"/>
      <c r="N5" s="7"/>
      <c r="O5" s="7"/>
      <c r="P5" s="7"/>
      <c r="Q5" s="5" t="s">
        <v>36</v>
      </c>
      <c r="R5" s="5" t="s">
        <v>50</v>
      </c>
    </row>
    <row r="6" customFormat="false" ht="23.85" hidden="false" customHeight="false" outlineLevel="0" collapsed="false">
      <c r="A6" s="5" t="s">
        <v>51</v>
      </c>
      <c r="B6" s="5" t="s">
        <v>52</v>
      </c>
      <c r="C6" s="5" t="n">
        <v>415.51</v>
      </c>
      <c r="D6" s="5" t="s">
        <v>53</v>
      </c>
      <c r="E6" s="5" t="n">
        <v>2018</v>
      </c>
      <c r="F6" s="5" t="n">
        <v>2035</v>
      </c>
      <c r="G6" s="5" t="n">
        <v>0.53</v>
      </c>
      <c r="H6" s="5" t="n">
        <v>0.61</v>
      </c>
      <c r="I6" s="6" t="n">
        <f aca="false">IFERROR((1-(1-G6)^(1/(F6-E6)))*100,"")</f>
        <v>4.3441272053699</v>
      </c>
      <c r="J6" s="6" t="n">
        <f aca="false">IFERROR((1-(1-H6)^(1/(F6-E6)))*100,"")</f>
        <v>5.38827149423172</v>
      </c>
      <c r="K6" s="7"/>
      <c r="L6" s="7"/>
      <c r="M6" s="7"/>
      <c r="N6" s="7"/>
      <c r="O6" s="7"/>
      <c r="P6" s="7"/>
      <c r="Q6" s="5" t="s">
        <v>36</v>
      </c>
      <c r="R6" s="5" t="s">
        <v>54</v>
      </c>
    </row>
    <row r="7" customFormat="false" ht="23.85" hidden="false" customHeight="false" outlineLevel="0" collapsed="false">
      <c r="A7" s="5" t="s">
        <v>55</v>
      </c>
      <c r="B7" s="5" t="s">
        <v>56</v>
      </c>
      <c r="C7" s="5" t="n">
        <v>705.4</v>
      </c>
      <c r="D7" s="5" t="s">
        <v>57</v>
      </c>
      <c r="E7" s="5" t="n">
        <v>2005</v>
      </c>
      <c r="F7" s="5" t="n">
        <v>2035</v>
      </c>
      <c r="G7" s="5"/>
      <c r="H7" s="5"/>
      <c r="I7" s="7"/>
      <c r="J7" s="7"/>
      <c r="K7" s="7"/>
      <c r="L7" s="7"/>
      <c r="M7" s="7"/>
      <c r="N7" s="7"/>
      <c r="O7" s="7"/>
      <c r="P7" s="7"/>
      <c r="Q7" s="5" t="s">
        <v>58</v>
      </c>
      <c r="R7" s="5" t="s">
        <v>59</v>
      </c>
    </row>
    <row r="8" customFormat="false" ht="15" hidden="false" customHeight="false" outlineLevel="0" collapsed="false">
      <c r="A8" s="5" t="s">
        <v>60</v>
      </c>
      <c r="B8" s="5" t="s">
        <v>61</v>
      </c>
      <c r="C8" s="5" t="n">
        <v>680.25</v>
      </c>
      <c r="D8" s="5" t="s">
        <v>62</v>
      </c>
      <c r="E8" s="5"/>
      <c r="F8" s="5" t="n">
        <v>2030</v>
      </c>
      <c r="G8" s="5"/>
      <c r="H8" s="5"/>
      <c r="I8" s="7"/>
      <c r="J8" s="7"/>
      <c r="K8" s="7"/>
      <c r="L8" s="7"/>
      <c r="M8" s="7"/>
      <c r="N8" s="7"/>
      <c r="O8" s="7"/>
      <c r="P8" s="7"/>
      <c r="Q8" s="5" t="s">
        <v>63</v>
      </c>
      <c r="R8" s="5" t="s">
        <v>64</v>
      </c>
    </row>
    <row r="9" customFormat="false" ht="23.85" hidden="false" customHeight="false" outlineLevel="0" collapsed="false">
      <c r="A9" s="5" t="s">
        <v>65</v>
      </c>
      <c r="B9" s="5" t="s">
        <v>66</v>
      </c>
      <c r="C9" s="5" t="n">
        <v>691.95</v>
      </c>
      <c r="D9" s="5" t="s">
        <v>67</v>
      </c>
      <c r="E9" s="5"/>
      <c r="F9" s="5" t="n">
        <v>2030</v>
      </c>
      <c r="G9" s="5"/>
      <c r="H9" s="5"/>
      <c r="I9" s="7"/>
      <c r="J9" s="7"/>
      <c r="K9" s="7"/>
      <c r="L9" s="7"/>
      <c r="M9" s="7"/>
      <c r="N9" s="7"/>
      <c r="O9" s="7"/>
      <c r="P9" s="7"/>
      <c r="Q9" s="5" t="s">
        <v>68</v>
      </c>
      <c r="R9" s="5" t="s">
        <v>69</v>
      </c>
    </row>
    <row r="10" customFormat="false" ht="23.85" hidden="false" customHeight="false" outlineLevel="0" collapsed="false">
      <c r="A10" s="5" t="s">
        <v>70</v>
      </c>
      <c r="B10" s="5" t="s">
        <v>71</v>
      </c>
      <c r="C10" s="5" t="n">
        <v>555.4</v>
      </c>
      <c r="D10" s="5" t="s">
        <v>72</v>
      </c>
      <c r="E10" s="5"/>
      <c r="F10" s="5" t="n">
        <v>2035</v>
      </c>
      <c r="G10" s="5"/>
      <c r="H10" s="5"/>
      <c r="I10" s="7"/>
      <c r="J10" s="7"/>
      <c r="K10" s="7"/>
      <c r="L10" s="7"/>
      <c r="M10" s="7"/>
      <c r="N10" s="7"/>
      <c r="O10" s="7"/>
      <c r="P10" s="7"/>
      <c r="Q10" s="5" t="s">
        <v>73</v>
      </c>
      <c r="R10" s="5" t="s">
        <v>74</v>
      </c>
    </row>
    <row r="12" customFormat="false" ht="15" hidden="false" customHeight="false" outlineLevel="0" collapsed="false">
      <c r="A12" s="8" t="s">
        <v>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0"/>
    <col collapsed="false" customWidth="true" hidden="false" outlineLevel="0" max="3" min="3" style="0" width="16"/>
    <col collapsed="false" customWidth="true" hidden="false" outlineLevel="0" max="4" min="4" style="0" width="12"/>
    <col collapsed="false" customWidth="true" hidden="false" outlineLevel="0" max="5" min="5" style="0" width="16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28"/>
    <col collapsed="false" customWidth="true" hidden="false" outlineLevel="0" max="10" min="10" style="0" width="10"/>
    <col collapsed="false" customWidth="true" hidden="false" outlineLevel="0" max="11" min="11" style="0" width="14"/>
  </cols>
  <sheetData>
    <row r="1" customFormat="false" ht="30" hidden="false" customHeight="true" outlineLevel="0" collapsed="false">
      <c r="A1" s="4" t="s">
        <v>76</v>
      </c>
      <c r="B1" s="4" t="s">
        <v>77</v>
      </c>
      <c r="C1" s="4" t="s">
        <v>78</v>
      </c>
      <c r="D1" s="4" t="s">
        <v>79</v>
      </c>
      <c r="E1" s="4" t="s">
        <v>80</v>
      </c>
      <c r="F1" s="4" t="s">
        <v>81</v>
      </c>
      <c r="G1" s="4" t="s">
        <v>82</v>
      </c>
      <c r="H1" s="4" t="s">
        <v>83</v>
      </c>
      <c r="I1" s="4" t="s">
        <v>32</v>
      </c>
      <c r="J1" s="4" t="s">
        <v>84</v>
      </c>
      <c r="K1" s="4" t="s">
        <v>85</v>
      </c>
    </row>
    <row r="2" customFormat="false" ht="23.85" hidden="false" customHeight="false" outlineLevel="0" collapsed="false">
      <c r="A2" s="5" t="s">
        <v>86</v>
      </c>
      <c r="B2" s="7"/>
      <c r="C2" s="7"/>
      <c r="D2" s="7"/>
      <c r="E2" s="7"/>
      <c r="F2" s="7"/>
      <c r="G2" s="7"/>
      <c r="H2" s="7"/>
      <c r="I2" s="5" t="s">
        <v>87</v>
      </c>
      <c r="J2" s="7"/>
      <c r="K2" s="5" t="s">
        <v>88</v>
      </c>
    </row>
    <row r="3" customFormat="false" ht="23.85" hidden="false" customHeight="false" outlineLevel="0" collapsed="false">
      <c r="A3" s="5" t="s">
        <v>86</v>
      </c>
      <c r="B3" s="7"/>
      <c r="C3" s="7"/>
      <c r="D3" s="7"/>
      <c r="E3" s="7"/>
      <c r="F3" s="7"/>
      <c r="G3" s="7"/>
      <c r="H3" s="7"/>
      <c r="I3" s="5" t="s">
        <v>87</v>
      </c>
      <c r="J3" s="7"/>
      <c r="K3" s="5" t="s">
        <v>88</v>
      </c>
    </row>
    <row r="4" customFormat="false" ht="23.85" hidden="false" customHeight="false" outlineLevel="0" collapsed="false">
      <c r="A4" s="5" t="s">
        <v>89</v>
      </c>
      <c r="B4" s="7"/>
      <c r="C4" s="7"/>
      <c r="D4" s="7"/>
      <c r="E4" s="7"/>
      <c r="F4" s="7"/>
      <c r="G4" s="7"/>
      <c r="H4" s="7"/>
      <c r="I4" s="5" t="s">
        <v>87</v>
      </c>
      <c r="J4" s="7"/>
      <c r="K4" s="5" t="s">
        <v>88</v>
      </c>
    </row>
    <row r="5" customFormat="false" ht="23.85" hidden="false" customHeight="false" outlineLevel="0" collapsed="false">
      <c r="A5" s="5" t="s">
        <v>89</v>
      </c>
      <c r="B5" s="7"/>
      <c r="C5" s="7"/>
      <c r="D5" s="7"/>
      <c r="E5" s="7"/>
      <c r="F5" s="7"/>
      <c r="G5" s="7"/>
      <c r="H5" s="7"/>
      <c r="I5" s="5" t="s">
        <v>87</v>
      </c>
      <c r="J5" s="7"/>
      <c r="K5" s="5" t="s">
        <v>88</v>
      </c>
    </row>
    <row r="6" customFormat="false" ht="23.85" hidden="false" customHeight="false" outlineLevel="0" collapsed="false">
      <c r="A6" s="5" t="s">
        <v>90</v>
      </c>
      <c r="B6" s="7"/>
      <c r="C6" s="7"/>
      <c r="D6" s="7"/>
      <c r="E6" s="7"/>
      <c r="F6" s="7"/>
      <c r="G6" s="7"/>
      <c r="H6" s="7"/>
      <c r="I6" s="5" t="s">
        <v>87</v>
      </c>
      <c r="J6" s="7"/>
      <c r="K6" s="5" t="s">
        <v>88</v>
      </c>
    </row>
    <row r="7" customFormat="false" ht="23.85" hidden="false" customHeight="false" outlineLevel="0" collapsed="false">
      <c r="A7" s="5" t="s">
        <v>90</v>
      </c>
      <c r="B7" s="7"/>
      <c r="C7" s="7"/>
      <c r="D7" s="7"/>
      <c r="E7" s="7"/>
      <c r="F7" s="7"/>
      <c r="G7" s="7"/>
      <c r="H7" s="7"/>
      <c r="I7" s="5" t="s">
        <v>87</v>
      </c>
      <c r="J7" s="7"/>
      <c r="K7" s="5" t="s">
        <v>88</v>
      </c>
    </row>
    <row r="8" customFormat="false" ht="23.85" hidden="false" customHeight="false" outlineLevel="0" collapsed="false">
      <c r="A8" s="5" t="s">
        <v>91</v>
      </c>
      <c r="B8" s="7"/>
      <c r="C8" s="7"/>
      <c r="D8" s="7"/>
      <c r="E8" s="7"/>
      <c r="F8" s="7"/>
      <c r="G8" s="7"/>
      <c r="H8" s="7"/>
      <c r="I8" s="5" t="s">
        <v>87</v>
      </c>
      <c r="J8" s="7"/>
      <c r="K8" s="5" t="s">
        <v>88</v>
      </c>
    </row>
    <row r="9" customFormat="false" ht="23.85" hidden="false" customHeight="false" outlineLevel="0" collapsed="false">
      <c r="A9" s="5" t="s">
        <v>92</v>
      </c>
      <c r="B9" s="7"/>
      <c r="C9" s="7"/>
      <c r="D9" s="7"/>
      <c r="E9" s="7"/>
      <c r="F9" s="7"/>
      <c r="G9" s="7"/>
      <c r="H9" s="7"/>
      <c r="I9" s="5" t="s">
        <v>87</v>
      </c>
      <c r="J9" s="7"/>
      <c r="K9" s="5" t="s">
        <v>88</v>
      </c>
    </row>
    <row r="10" customFormat="false" ht="15" hidden="false" customHeight="false" outlineLevel="0" collapsed="false">
      <c r="A10" s="7"/>
      <c r="B10" s="7"/>
      <c r="C10" s="7"/>
      <c r="D10" s="7"/>
      <c r="E10" s="7"/>
      <c r="F10" s="7"/>
      <c r="G10" s="7"/>
      <c r="H10" s="7"/>
      <c r="I10" s="5"/>
      <c r="J10" s="7"/>
      <c r="K10" s="5" t="s">
        <v>88</v>
      </c>
    </row>
    <row r="11" customFormat="false" ht="15" hidden="false" customHeight="false" outlineLevel="0" collapsed="false">
      <c r="A11" s="7"/>
      <c r="B11" s="7"/>
      <c r="C11" s="7"/>
      <c r="D11" s="7"/>
      <c r="E11" s="7"/>
      <c r="F11" s="7"/>
      <c r="G11" s="7"/>
      <c r="H11" s="7"/>
      <c r="I11" s="5"/>
      <c r="J11" s="7"/>
      <c r="K11" s="5" t="s">
        <v>88</v>
      </c>
    </row>
    <row r="12" customFormat="false" ht="15" hidden="false" customHeight="false" outlineLevel="0" collapsed="false">
      <c r="A12" s="7"/>
      <c r="B12" s="7"/>
      <c r="C12" s="7"/>
      <c r="D12" s="7"/>
      <c r="E12" s="7"/>
      <c r="F12" s="7"/>
      <c r="G12" s="7"/>
      <c r="H12" s="7"/>
      <c r="I12" s="5"/>
      <c r="J12" s="7"/>
      <c r="K12" s="5" t="s">
        <v>88</v>
      </c>
    </row>
    <row r="13" customFormat="false" ht="15" hidden="false" customHeight="false" outlineLevel="0" collapsed="false">
      <c r="A13" s="7"/>
      <c r="B13" s="7"/>
      <c r="C13" s="7"/>
      <c r="D13" s="7"/>
      <c r="E13" s="7"/>
      <c r="F13" s="7"/>
      <c r="G13" s="7"/>
      <c r="H13" s="7"/>
      <c r="I13" s="5"/>
      <c r="J13" s="7"/>
      <c r="K13" s="5" t="s">
        <v>88</v>
      </c>
    </row>
    <row r="14" customFormat="false" ht="15" hidden="false" customHeight="false" outlineLevel="0" collapsed="false">
      <c r="A14" s="7"/>
      <c r="B14" s="7"/>
      <c r="C14" s="7"/>
      <c r="D14" s="7"/>
      <c r="E14" s="7"/>
      <c r="F14" s="7"/>
      <c r="G14" s="7"/>
      <c r="H14" s="7"/>
      <c r="I14" s="5"/>
      <c r="J14" s="7"/>
      <c r="K14" s="5" t="s">
        <v>88</v>
      </c>
    </row>
    <row r="15" customFormat="false" ht="15" hidden="false" customHeight="false" outlineLevel="0" collapsed="false">
      <c r="A15" s="7"/>
      <c r="B15" s="7"/>
      <c r="C15" s="7"/>
      <c r="D15" s="7"/>
      <c r="E15" s="7"/>
      <c r="F15" s="7"/>
      <c r="G15" s="7"/>
      <c r="H15" s="7"/>
      <c r="I15" s="5"/>
      <c r="J15" s="7"/>
      <c r="K15" s="5" t="s">
        <v>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6"/>
    <col collapsed="false" customWidth="true" hidden="false" outlineLevel="0" max="3" min="3" style="0" width="8"/>
    <col collapsed="false" customWidth="true" hidden="false" outlineLevel="0" max="4" min="4" style="0" width="14"/>
    <col collapsed="false" customWidth="true" hidden="false" outlineLevel="0" max="5" min="5" style="0" width="20"/>
    <col collapsed="false" customWidth="true" hidden="false" outlineLevel="0" max="6" min="6" style="0" width="14"/>
    <col collapsed="false" customWidth="true" hidden="false" outlineLevel="0" max="8" min="7" style="0" width="12"/>
    <col collapsed="false" customWidth="true" hidden="false" outlineLevel="0" max="9" min="9" style="0" width="26"/>
    <col collapsed="false" customWidth="true" hidden="false" outlineLevel="0" max="10" min="10" style="0" width="8"/>
    <col collapsed="false" customWidth="true" hidden="false" outlineLevel="0" max="11" min="11" style="0" width="14"/>
  </cols>
  <sheetData>
    <row r="1" customFormat="false" ht="30" hidden="false" customHeight="true" outlineLevel="0" collapsed="false">
      <c r="A1" s="4" t="s">
        <v>15</v>
      </c>
      <c r="B1" s="4" t="s">
        <v>16</v>
      </c>
      <c r="C1" s="4" t="s">
        <v>93</v>
      </c>
      <c r="D1" s="4" t="s">
        <v>76</v>
      </c>
      <c r="E1" s="4" t="s">
        <v>77</v>
      </c>
      <c r="F1" s="4" t="s">
        <v>94</v>
      </c>
      <c r="G1" s="4" t="s">
        <v>95</v>
      </c>
      <c r="H1" s="4" t="s">
        <v>79</v>
      </c>
      <c r="I1" s="4" t="s">
        <v>96</v>
      </c>
      <c r="J1" s="4" t="s">
        <v>97</v>
      </c>
      <c r="K1" s="4" t="s">
        <v>85</v>
      </c>
    </row>
    <row r="2" customFormat="false" ht="15" hidden="false" customHeight="false" outlineLevel="0" collapsed="false">
      <c r="A2" s="5" t="s">
        <v>33</v>
      </c>
      <c r="B2" s="5" t="s">
        <v>34</v>
      </c>
      <c r="C2" s="5" t="n">
        <v>2024</v>
      </c>
      <c r="D2" s="7"/>
      <c r="E2" s="7"/>
      <c r="F2" s="7"/>
      <c r="G2" s="7"/>
      <c r="H2" s="7"/>
      <c r="I2" s="5" t="s">
        <v>98</v>
      </c>
      <c r="J2" s="5" t="s">
        <v>99</v>
      </c>
      <c r="K2" s="5" t="s">
        <v>88</v>
      </c>
    </row>
    <row r="3" customFormat="false" ht="15" hidden="false" customHeight="false" outlineLevel="0" collapsed="false">
      <c r="A3" s="5" t="s">
        <v>100</v>
      </c>
      <c r="B3" s="5" t="s">
        <v>101</v>
      </c>
      <c r="C3" s="5" t="n">
        <v>2024</v>
      </c>
      <c r="D3" s="7"/>
      <c r="E3" s="7"/>
      <c r="F3" s="7"/>
      <c r="G3" s="7"/>
      <c r="H3" s="7"/>
      <c r="I3" s="5" t="s">
        <v>102</v>
      </c>
      <c r="J3" s="5" t="s">
        <v>99</v>
      </c>
      <c r="K3" s="5" t="s">
        <v>88</v>
      </c>
    </row>
    <row r="4" customFormat="false" ht="15" hidden="false" customHeight="false" outlineLevel="0" collapsed="false">
      <c r="A4" s="5" t="s">
        <v>103</v>
      </c>
      <c r="B4" s="5" t="s">
        <v>104</v>
      </c>
      <c r="C4" s="5" t="n">
        <v>2024</v>
      </c>
      <c r="D4" s="7"/>
      <c r="E4" s="7"/>
      <c r="F4" s="7"/>
      <c r="G4" s="7"/>
      <c r="H4" s="7"/>
      <c r="I4" s="5" t="s">
        <v>105</v>
      </c>
      <c r="J4" s="5" t="s">
        <v>99</v>
      </c>
      <c r="K4" s="5" t="s">
        <v>88</v>
      </c>
    </row>
    <row r="5" customFormat="false" ht="15" hidden="false" customHeight="false" outlineLevel="0" collapsed="false">
      <c r="A5" s="5" t="s">
        <v>38</v>
      </c>
      <c r="B5" s="5" t="s">
        <v>39</v>
      </c>
      <c r="C5" s="5" t="n">
        <v>2024</v>
      </c>
      <c r="D5" s="7"/>
      <c r="E5" s="7"/>
      <c r="F5" s="7"/>
      <c r="G5" s="7"/>
      <c r="H5" s="7"/>
      <c r="I5" s="5" t="s">
        <v>106</v>
      </c>
      <c r="J5" s="5" t="s">
        <v>107</v>
      </c>
      <c r="K5" s="5" t="s">
        <v>88</v>
      </c>
    </row>
    <row r="6" customFormat="false" ht="15" hidden="false" customHeight="false" outlineLevel="0" collapsed="false">
      <c r="A6" s="5" t="s">
        <v>51</v>
      </c>
      <c r="B6" s="5" t="s">
        <v>52</v>
      </c>
      <c r="C6" s="5" t="n">
        <v>2024</v>
      </c>
      <c r="D6" s="7"/>
      <c r="E6" s="7"/>
      <c r="F6" s="7"/>
      <c r="G6" s="7"/>
      <c r="H6" s="7"/>
      <c r="I6" s="5" t="s">
        <v>108</v>
      </c>
      <c r="J6" s="5" t="s">
        <v>99</v>
      </c>
      <c r="K6" s="5" t="s">
        <v>88</v>
      </c>
    </row>
    <row r="7" customFormat="false" ht="15" hidden="false" customHeight="false" outlineLevel="0" collapsed="false">
      <c r="A7" s="5" t="s">
        <v>47</v>
      </c>
      <c r="B7" s="5" t="s">
        <v>48</v>
      </c>
      <c r="C7" s="5" t="n">
        <v>2024</v>
      </c>
      <c r="D7" s="7"/>
      <c r="E7" s="7"/>
      <c r="F7" s="7"/>
      <c r="G7" s="7"/>
      <c r="H7" s="7"/>
      <c r="I7" s="5" t="s">
        <v>109</v>
      </c>
      <c r="J7" s="5" t="s">
        <v>107</v>
      </c>
      <c r="K7" s="5" t="s">
        <v>88</v>
      </c>
    </row>
    <row r="8" customFormat="false" ht="15" hidden="false" customHeight="false" outlineLevel="0" collapsed="false">
      <c r="A8" s="5" t="s">
        <v>55</v>
      </c>
      <c r="B8" s="5" t="s">
        <v>56</v>
      </c>
      <c r="C8" s="5" t="n">
        <v>2024</v>
      </c>
      <c r="D8" s="7"/>
      <c r="E8" s="7"/>
      <c r="F8" s="7"/>
      <c r="G8" s="7"/>
      <c r="H8" s="7"/>
      <c r="I8" s="5" t="s">
        <v>110</v>
      </c>
      <c r="J8" s="5" t="s">
        <v>111</v>
      </c>
      <c r="K8" s="5" t="s">
        <v>88</v>
      </c>
    </row>
    <row r="9" customFormat="false" ht="15" hidden="false" customHeight="false" outlineLevel="0" collapsed="false">
      <c r="A9" s="5" t="s">
        <v>60</v>
      </c>
      <c r="B9" s="5" t="s">
        <v>61</v>
      </c>
      <c r="C9" s="5" t="n">
        <v>2024</v>
      </c>
      <c r="D9" s="7"/>
      <c r="E9" s="7"/>
      <c r="F9" s="7"/>
      <c r="G9" s="7"/>
      <c r="H9" s="7"/>
      <c r="I9" s="5" t="s">
        <v>112</v>
      </c>
      <c r="J9" s="5" t="s">
        <v>111</v>
      </c>
      <c r="K9" s="5" t="s">
        <v>88</v>
      </c>
    </row>
    <row r="10" customFormat="false" ht="15" hidden="false" customHeight="false" outlineLevel="0" collapsed="false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</row>
    <row r="11" customFormat="false" ht="15" hidden="false" customHeight="false" outlineLevel="0" collapsed="false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</row>
    <row r="12" customFormat="false" ht="15" hidden="false" customHeight="false" outlineLevel="0" collapsed="false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</row>
    <row r="13" customFormat="false" ht="15" hidden="false" customHeight="false" outlineLevel="0" collapsed="false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</row>
    <row r="14" customFormat="false" ht="15" hidden="false" customHeight="false" outlineLevel="0" collapsed="false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</row>
    <row r="15" customFormat="false" ht="15" hidden="false" customHeight="false" outlineLevel="0" collapsed="false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</row>
    <row r="16" customFormat="false" ht="15" hidden="false" customHeight="false" outlineLevel="0" collapsed="false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</row>
    <row r="17" customFormat="false" ht="15" hidden="false" customHeight="false" outlineLevel="0" collapsed="false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</row>
    <row r="19" customFormat="false" ht="15" hidden="false" customHeight="false" outlineLevel="0" collapsed="false">
      <c r="A19" s="8" t="s">
        <v>113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2"/>
    <col collapsed="false" customWidth="true" hidden="false" outlineLevel="0" max="3" min="3" style="0" width="12"/>
    <col collapsed="false" customWidth="true" hidden="false" outlineLevel="0" max="4" min="4" style="0" width="20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20"/>
    <col collapsed="false" customWidth="true" hidden="false" outlineLevel="0" max="8" min="8" style="0" width="26"/>
    <col collapsed="false" customWidth="true" hidden="false" outlineLevel="0" max="9" min="9" style="0" width="14"/>
  </cols>
  <sheetData>
    <row r="1" customFormat="false" ht="30" hidden="false" customHeight="true" outlineLevel="0" collapsed="false">
      <c r="A1" s="4" t="s">
        <v>114</v>
      </c>
      <c r="B1" s="4" t="s">
        <v>115</v>
      </c>
      <c r="C1" s="4" t="s">
        <v>76</v>
      </c>
      <c r="D1" s="4" t="s">
        <v>77</v>
      </c>
      <c r="E1" s="4" t="s">
        <v>15</v>
      </c>
      <c r="F1" s="4" t="s">
        <v>95</v>
      </c>
      <c r="G1" s="4" t="s">
        <v>116</v>
      </c>
      <c r="H1" s="4" t="s">
        <v>117</v>
      </c>
      <c r="I1" s="4" t="s">
        <v>85</v>
      </c>
    </row>
    <row r="2" customFormat="false" ht="15" hidden="false" customHeight="false" outlineLevel="0" collapsed="false">
      <c r="A2" s="7"/>
      <c r="B2" s="7"/>
      <c r="C2" s="7"/>
      <c r="D2" s="7"/>
      <c r="E2" s="7"/>
      <c r="F2" s="7"/>
      <c r="G2" s="7"/>
      <c r="H2" s="7"/>
      <c r="I2" s="7"/>
    </row>
    <row r="3" customFormat="false" ht="15" hidden="false" customHeight="false" outlineLevel="0" collapsed="false">
      <c r="A3" s="7"/>
      <c r="B3" s="7"/>
      <c r="C3" s="7"/>
      <c r="D3" s="7"/>
      <c r="E3" s="7"/>
      <c r="F3" s="7"/>
      <c r="G3" s="7"/>
      <c r="H3" s="7"/>
      <c r="I3" s="7"/>
    </row>
    <row r="4" customFormat="false" ht="15" hidden="false" customHeight="false" outlineLevel="0" collapsed="false">
      <c r="A4" s="7"/>
      <c r="B4" s="7"/>
      <c r="C4" s="7"/>
      <c r="D4" s="7"/>
      <c r="E4" s="7"/>
      <c r="F4" s="7"/>
      <c r="G4" s="7"/>
      <c r="H4" s="7"/>
      <c r="I4" s="7"/>
    </row>
    <row r="5" customFormat="false" ht="15" hidden="false" customHeight="false" outlineLevel="0" collapsed="false">
      <c r="A5" s="7"/>
      <c r="B5" s="7"/>
      <c r="C5" s="7"/>
      <c r="D5" s="7"/>
      <c r="E5" s="7"/>
      <c r="F5" s="7"/>
      <c r="G5" s="7"/>
      <c r="H5" s="7"/>
      <c r="I5" s="7"/>
    </row>
    <row r="6" customFormat="false" ht="15" hidden="false" customHeight="false" outlineLevel="0" collapsed="false">
      <c r="A6" s="7"/>
      <c r="B6" s="7"/>
      <c r="C6" s="7"/>
      <c r="D6" s="7"/>
      <c r="E6" s="7"/>
      <c r="F6" s="7"/>
      <c r="G6" s="7"/>
      <c r="H6" s="7"/>
      <c r="I6" s="7"/>
    </row>
    <row r="7" customFormat="false" ht="15" hidden="false" customHeight="false" outlineLevel="0" collapsed="false">
      <c r="A7" s="7"/>
      <c r="B7" s="7"/>
      <c r="C7" s="7"/>
      <c r="D7" s="7"/>
      <c r="E7" s="7"/>
      <c r="F7" s="7"/>
      <c r="G7" s="7"/>
      <c r="H7" s="7"/>
      <c r="I7" s="7"/>
    </row>
    <row r="8" customFormat="false" ht="15" hidden="false" customHeight="false" outlineLevel="0" collapsed="false">
      <c r="A8" s="7"/>
      <c r="B8" s="7"/>
      <c r="C8" s="7"/>
      <c r="D8" s="7"/>
      <c r="E8" s="7"/>
      <c r="F8" s="7"/>
      <c r="G8" s="7"/>
      <c r="H8" s="7"/>
      <c r="I8" s="7"/>
    </row>
    <row r="9" customFormat="false" ht="15" hidden="false" customHeight="false" outlineLevel="0" collapsed="false">
      <c r="A9" s="7"/>
      <c r="B9" s="7"/>
      <c r="C9" s="7"/>
      <c r="D9" s="7"/>
      <c r="E9" s="7"/>
      <c r="F9" s="7"/>
      <c r="G9" s="7"/>
      <c r="H9" s="7"/>
      <c r="I9" s="7"/>
    </row>
    <row r="10" customFormat="false" ht="15" hidden="false" customHeight="false" outlineLevel="0" collapsed="false">
      <c r="A10" s="7"/>
      <c r="B10" s="7"/>
      <c r="C10" s="7"/>
      <c r="D10" s="7"/>
      <c r="E10" s="7"/>
      <c r="F10" s="7"/>
      <c r="G10" s="7"/>
      <c r="H10" s="7"/>
      <c r="I10" s="7"/>
    </row>
    <row r="11" customFormat="false" ht="15" hidden="false" customHeight="false" outlineLevel="0" collapsed="false">
      <c r="A11" s="7"/>
      <c r="B11" s="7"/>
      <c r="C11" s="7"/>
      <c r="D11" s="7"/>
      <c r="E11" s="7"/>
      <c r="F11" s="7"/>
      <c r="G11" s="7"/>
      <c r="H11" s="7"/>
      <c r="I11" s="7"/>
    </row>
    <row r="12" customFormat="false" ht="15" hidden="false" customHeight="false" outlineLevel="0" collapsed="false">
      <c r="A12" s="7"/>
      <c r="B12" s="7"/>
      <c r="C12" s="7"/>
      <c r="D12" s="7"/>
      <c r="E12" s="7"/>
      <c r="F12" s="7"/>
      <c r="G12" s="7"/>
      <c r="H12" s="7"/>
      <c r="I12" s="7"/>
    </row>
    <row r="13" customFormat="false" ht="15" hidden="false" customHeight="false" outlineLevel="0" collapsed="false">
      <c r="A13" s="7"/>
      <c r="B13" s="7"/>
      <c r="C13" s="7"/>
      <c r="D13" s="7"/>
      <c r="E13" s="7"/>
      <c r="F13" s="7"/>
      <c r="G13" s="7"/>
      <c r="H13" s="7"/>
      <c r="I13" s="7"/>
    </row>
    <row r="15" customFormat="false" ht="15" hidden="false" customHeight="false" outlineLevel="0" collapsed="false">
      <c r="A15" s="8" t="s">
        <v>118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28"/>
    <col collapsed="false" customWidth="true" hidden="false" outlineLevel="0" max="8" min="8" style="0" width="14"/>
  </cols>
  <sheetData>
    <row r="1" customFormat="false" ht="30" hidden="false" customHeight="true" outlineLevel="0" collapsed="false">
      <c r="A1" s="4" t="s">
        <v>119</v>
      </c>
      <c r="B1" s="4" t="s">
        <v>120</v>
      </c>
      <c r="C1" s="4" t="s">
        <v>121</v>
      </c>
      <c r="D1" s="4" t="s">
        <v>122</v>
      </c>
      <c r="E1" s="4" t="s">
        <v>123</v>
      </c>
      <c r="F1" s="4" t="s">
        <v>124</v>
      </c>
      <c r="G1" s="4" t="s">
        <v>32</v>
      </c>
      <c r="H1" s="4" t="s">
        <v>85</v>
      </c>
    </row>
    <row r="2" customFormat="false" ht="15" hidden="false" customHeight="false" outlineLevel="0" collapsed="false">
      <c r="A2" s="5" t="s">
        <v>125</v>
      </c>
      <c r="B2" s="5" t="s">
        <v>126</v>
      </c>
      <c r="C2" s="5" t="s">
        <v>127</v>
      </c>
      <c r="D2" s="7"/>
      <c r="E2" s="5" t="s">
        <v>128</v>
      </c>
      <c r="F2" s="5" t="s">
        <v>129</v>
      </c>
      <c r="G2" s="5" t="s">
        <v>130</v>
      </c>
      <c r="H2" s="5" t="s">
        <v>88</v>
      </c>
    </row>
    <row r="3" customFormat="false" ht="15" hidden="false" customHeight="false" outlineLevel="0" collapsed="false">
      <c r="A3" s="5" t="s">
        <v>131</v>
      </c>
      <c r="B3" s="5" t="s">
        <v>126</v>
      </c>
      <c r="C3" s="5" t="s">
        <v>132</v>
      </c>
      <c r="D3" s="7"/>
      <c r="E3" s="5" t="s">
        <v>133</v>
      </c>
      <c r="F3" s="5" t="s">
        <v>134</v>
      </c>
      <c r="G3" s="5" t="s">
        <v>135</v>
      </c>
      <c r="H3" s="5" t="s">
        <v>88</v>
      </c>
    </row>
    <row r="4" customFormat="false" ht="15" hidden="false" customHeight="false" outlineLevel="0" collapsed="false">
      <c r="A4" s="5" t="s">
        <v>136</v>
      </c>
      <c r="B4" s="5" t="s">
        <v>126</v>
      </c>
      <c r="C4" s="5" t="s">
        <v>137</v>
      </c>
      <c r="D4" s="7"/>
      <c r="E4" s="5" t="s">
        <v>138</v>
      </c>
      <c r="F4" s="5" t="s">
        <v>137</v>
      </c>
      <c r="G4" s="5" t="s">
        <v>139</v>
      </c>
      <c r="H4" s="5" t="s">
        <v>88</v>
      </c>
    </row>
    <row r="5" customFormat="false" ht="15" hidden="false" customHeight="false" outlineLevel="0" collapsed="false">
      <c r="A5" s="5" t="s">
        <v>140</v>
      </c>
      <c r="B5" s="5" t="s">
        <v>126</v>
      </c>
      <c r="C5" s="5" t="s">
        <v>141</v>
      </c>
      <c r="D5" s="7"/>
      <c r="E5" s="5" t="s">
        <v>142</v>
      </c>
      <c r="F5" s="5" t="s">
        <v>143</v>
      </c>
      <c r="G5" s="5" t="s">
        <v>144</v>
      </c>
      <c r="H5" s="5" t="s">
        <v>88</v>
      </c>
    </row>
    <row r="6" customFormat="false" ht="15" hidden="false" customHeight="false" outlineLevel="0" collapsed="false">
      <c r="A6" s="5" t="s">
        <v>145</v>
      </c>
      <c r="B6" s="5" t="s">
        <v>126</v>
      </c>
      <c r="C6" s="5" t="s">
        <v>137</v>
      </c>
      <c r="D6" s="7"/>
      <c r="E6" s="5" t="s">
        <v>146</v>
      </c>
      <c r="F6" s="5" t="s">
        <v>147</v>
      </c>
      <c r="G6" s="5" t="s">
        <v>148</v>
      </c>
      <c r="H6" s="5" t="s">
        <v>88</v>
      </c>
    </row>
    <row r="7" customFormat="false" ht="15" hidden="false" customHeight="false" outlineLevel="0" collapsed="false">
      <c r="A7" s="5" t="s">
        <v>149</v>
      </c>
      <c r="B7" s="5" t="s">
        <v>150</v>
      </c>
      <c r="C7" s="5" t="s">
        <v>127</v>
      </c>
      <c r="D7" s="7"/>
      <c r="E7" s="5" t="s">
        <v>151</v>
      </c>
      <c r="F7" s="5" t="s">
        <v>129</v>
      </c>
      <c r="G7" s="5" t="s">
        <v>152</v>
      </c>
      <c r="H7" s="5" t="s">
        <v>88</v>
      </c>
    </row>
    <row r="8" customFormat="false" ht="15" hidden="false" customHeight="false" outlineLevel="0" collapsed="false">
      <c r="A8" s="5" t="s">
        <v>153</v>
      </c>
      <c r="B8" s="5" t="s">
        <v>154</v>
      </c>
      <c r="C8" s="5" t="s">
        <v>127</v>
      </c>
      <c r="D8" s="7"/>
      <c r="E8" s="5" t="s">
        <v>155</v>
      </c>
      <c r="F8" s="5" t="s">
        <v>129</v>
      </c>
      <c r="G8" s="5" t="s">
        <v>156</v>
      </c>
      <c r="H8" s="5" t="s">
        <v>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0"/>
    <col collapsed="false" customWidth="true" hidden="false" outlineLevel="0" max="3" min="3" style="0" width="40"/>
    <col collapsed="false" customWidth="true" hidden="false" outlineLevel="0" max="4" min="4" style="0" width="14"/>
    <col collapsed="false" customWidth="true" hidden="false" outlineLevel="0" max="5" min="5" style="0" width="28"/>
    <col collapsed="false" customWidth="true" hidden="false" outlineLevel="0" max="6" min="6" style="0" width="14"/>
  </cols>
  <sheetData>
    <row r="1" customFormat="false" ht="30" hidden="false" customHeight="true" outlineLevel="0" collapsed="false">
      <c r="A1" s="4" t="s">
        <v>157</v>
      </c>
      <c r="B1" s="4" t="s">
        <v>158</v>
      </c>
      <c r="C1" s="4" t="s">
        <v>159</v>
      </c>
      <c r="D1" s="4" t="s">
        <v>160</v>
      </c>
      <c r="E1" s="4" t="s">
        <v>32</v>
      </c>
      <c r="F1" s="4" t="s">
        <v>85</v>
      </c>
    </row>
    <row r="2" customFormat="false" ht="15" hidden="false" customHeight="false" outlineLevel="0" collapsed="false">
      <c r="A2" s="5" t="s">
        <v>161</v>
      </c>
      <c r="B2" s="5" t="s">
        <v>162</v>
      </c>
      <c r="C2" s="5" t="s">
        <v>163</v>
      </c>
      <c r="D2" s="7"/>
      <c r="E2" s="5" t="s">
        <v>164</v>
      </c>
      <c r="F2" s="5" t="s">
        <v>88</v>
      </c>
    </row>
    <row r="3" customFormat="false" ht="23.85" hidden="false" customHeight="false" outlineLevel="0" collapsed="false">
      <c r="A3" s="5" t="s">
        <v>165</v>
      </c>
      <c r="B3" s="5" t="s">
        <v>166</v>
      </c>
      <c r="C3" s="5" t="s">
        <v>167</v>
      </c>
      <c r="D3" s="7"/>
      <c r="E3" s="5" t="s">
        <v>168</v>
      </c>
      <c r="F3" s="5" t="s">
        <v>88</v>
      </c>
    </row>
    <row r="4" customFormat="false" ht="15" hidden="false" customHeight="false" outlineLevel="0" collapsed="false">
      <c r="A4" s="5" t="s">
        <v>169</v>
      </c>
      <c r="B4" s="5" t="s">
        <v>166</v>
      </c>
      <c r="C4" s="5" t="s">
        <v>170</v>
      </c>
      <c r="D4" s="7"/>
      <c r="E4" s="5" t="s">
        <v>171</v>
      </c>
      <c r="F4" s="5" t="s">
        <v>88</v>
      </c>
    </row>
    <row r="5" customFormat="false" ht="15" hidden="false" customHeight="false" outlineLevel="0" collapsed="false">
      <c r="A5" s="5" t="s">
        <v>172</v>
      </c>
      <c r="B5" s="5" t="s">
        <v>166</v>
      </c>
      <c r="C5" s="5" t="s">
        <v>173</v>
      </c>
      <c r="D5" s="7"/>
      <c r="E5" s="5" t="s">
        <v>174</v>
      </c>
      <c r="F5" s="5" t="s">
        <v>88</v>
      </c>
    </row>
    <row r="6" customFormat="false" ht="15" hidden="false" customHeight="false" outlineLevel="0" collapsed="false">
      <c r="A6" s="5" t="s">
        <v>175</v>
      </c>
      <c r="B6" s="5" t="s">
        <v>176</v>
      </c>
      <c r="C6" s="5" t="s">
        <v>177</v>
      </c>
      <c r="D6" s="7"/>
      <c r="E6" s="5" t="s">
        <v>178</v>
      </c>
      <c r="F6" s="5" t="s">
        <v>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0"/>
    <col collapsed="false" customWidth="true" hidden="false" outlineLevel="0" max="3" min="3" style="0" width="40"/>
    <col collapsed="false" customWidth="true" hidden="false" outlineLevel="0" max="4" min="4" style="0" width="14"/>
    <col collapsed="false" customWidth="true" hidden="false" outlineLevel="0" max="5" min="5" style="0" width="28"/>
    <col collapsed="false" customWidth="true" hidden="false" outlineLevel="0" max="6" min="6" style="0" width="14"/>
  </cols>
  <sheetData>
    <row r="1" customFormat="false" ht="30" hidden="false" customHeight="true" outlineLevel="0" collapsed="false">
      <c r="A1" s="4" t="s">
        <v>157</v>
      </c>
      <c r="B1" s="4" t="s">
        <v>158</v>
      </c>
      <c r="C1" s="4" t="s">
        <v>159</v>
      </c>
      <c r="D1" s="4" t="s">
        <v>160</v>
      </c>
      <c r="E1" s="4" t="s">
        <v>32</v>
      </c>
      <c r="F1" s="4" t="s">
        <v>85</v>
      </c>
    </row>
    <row r="2" customFormat="false" ht="15" hidden="false" customHeight="false" outlineLevel="0" collapsed="false">
      <c r="A2" s="5" t="s">
        <v>161</v>
      </c>
      <c r="B2" s="5" t="s">
        <v>162</v>
      </c>
      <c r="C2" s="5" t="s">
        <v>179</v>
      </c>
      <c r="D2" s="7"/>
      <c r="E2" s="5" t="s">
        <v>180</v>
      </c>
      <c r="F2" s="5" t="s">
        <v>88</v>
      </c>
    </row>
    <row r="3" customFormat="false" ht="15" hidden="false" customHeight="false" outlineLevel="0" collapsed="false">
      <c r="A3" s="5" t="s">
        <v>181</v>
      </c>
      <c r="B3" s="5" t="s">
        <v>166</v>
      </c>
      <c r="C3" s="5" t="s">
        <v>182</v>
      </c>
      <c r="D3" s="7"/>
      <c r="E3" s="5" t="s">
        <v>183</v>
      </c>
      <c r="F3" s="5" t="s">
        <v>88</v>
      </c>
    </row>
    <row r="4" customFormat="false" ht="15" hidden="false" customHeight="false" outlineLevel="0" collapsed="false">
      <c r="A4" s="5" t="s">
        <v>184</v>
      </c>
      <c r="B4" s="5" t="s">
        <v>166</v>
      </c>
      <c r="C4" s="5" t="s">
        <v>185</v>
      </c>
      <c r="D4" s="7"/>
      <c r="E4" s="5" t="s">
        <v>186</v>
      </c>
      <c r="F4" s="5" t="s">
        <v>88</v>
      </c>
    </row>
    <row r="5" customFormat="false" ht="15" hidden="false" customHeight="false" outlineLevel="0" collapsed="false">
      <c r="A5" s="5" t="s">
        <v>187</v>
      </c>
      <c r="B5" s="5" t="s">
        <v>188</v>
      </c>
      <c r="C5" s="5" t="s">
        <v>189</v>
      </c>
      <c r="D5" s="7"/>
      <c r="E5" s="5" t="s">
        <v>190</v>
      </c>
      <c r="F5" s="5" t="s">
        <v>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2026-06-29T01:32:29Z</dcterms:created>
  <dc:creator>openpyxl</dc:creator>
  <dc:description/>
  <dc:language>en-US</dc:language>
  <cp:lastModifiedBy/>
  <dcterms:modified xsi:type="dcterms:W3CDTF">2026-06-29T01:32:30Z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