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mccloud.sharepoint.com/sites/o365m_KBAA/Shared Documents/AutoDocs/120.IR Site 관련/10.월판매마감/95.2025년/12월/홈페이지 첨부용/"/>
    </mc:Choice>
  </mc:AlternateContent>
  <xr:revisionPtr revIDLastSave="1161" documentId="13_ncr:1_{DB51790A-B47D-438A-BF92-17CB2CD9E086}" xr6:coauthVersionLast="47" xr6:coauthVersionMax="47" xr10:uidLastSave="{C299A63F-17BE-443E-8BBC-82D8242C89C1}"/>
  <bookViews>
    <workbookView xWindow="28680" yWindow="-120" windowWidth="29040" windowHeight="15840" tabRatio="891" xr2:uid="{00000000-000D-0000-FFFF-FFFF00000000}"/>
  </bookViews>
  <sheets>
    <sheet name="Total" sheetId="74" r:id="rId1"/>
    <sheet name="Jan" sheetId="13" r:id="rId2"/>
    <sheet name="Feb" sheetId="63" r:id="rId3"/>
    <sheet name="Mar" sheetId="64" r:id="rId4"/>
    <sheet name="Apr" sheetId="65" r:id="rId5"/>
    <sheet name="May" sheetId="66" r:id="rId6"/>
    <sheet name="June" sheetId="67" r:id="rId7"/>
    <sheet name="July" sheetId="68" r:id="rId8"/>
    <sheet name="Aug" sheetId="69" r:id="rId9"/>
    <sheet name="Sep" sheetId="70" r:id="rId10"/>
    <sheet name="Oct" sheetId="71" r:id="rId11"/>
    <sheet name="Nov" sheetId="72" r:id="rId12"/>
    <sheet name="Dec" sheetId="73" r:id="rId13"/>
  </sheets>
  <definedNames>
    <definedName name="_xlnm.Print_Area" localSheetId="4">Apr!$B$1:$S$112</definedName>
    <definedName name="_xlnm.Print_Area" localSheetId="8">Aug!$B$1:$S$112</definedName>
    <definedName name="_xlnm.Print_Area" localSheetId="12">Dec!$B$1:$S$112</definedName>
    <definedName name="_xlnm.Print_Area" localSheetId="2">Feb!$B$1:$S$112</definedName>
    <definedName name="_xlnm.Print_Area" localSheetId="1">Jan!$B$1:$S$112</definedName>
    <definedName name="_xlnm.Print_Area" localSheetId="7">July!$B$1:$S$112</definedName>
    <definedName name="_xlnm.Print_Area" localSheetId="6">June!$B$1:$S$112</definedName>
    <definedName name="_xlnm.Print_Area" localSheetId="3">Mar!$B$1:$S$112</definedName>
    <definedName name="_xlnm.Print_Area" localSheetId="5">May!$B$1:$S$112</definedName>
    <definedName name="_xlnm.Print_Area" localSheetId="11">Nov!$B$1:$S$112</definedName>
    <definedName name="_xlnm.Print_Area" localSheetId="10">Oct!$B$1:$S$112</definedName>
    <definedName name="_xlnm.Print_Area" localSheetId="9">Sep!$B$1:$S$112</definedName>
    <definedName name="_xlnm.Print_Area" localSheetId="0">Total!$B$1:$S$112</definedName>
    <definedName name="_xlnm.Print_Titles" localSheetId="4">Apr!$3:$4</definedName>
    <definedName name="_xlnm.Print_Titles" localSheetId="8">Aug!$3:$4</definedName>
    <definedName name="_xlnm.Print_Titles" localSheetId="12">Dec!$3:$4</definedName>
    <definedName name="_xlnm.Print_Titles" localSheetId="2">Feb!$3:$4</definedName>
    <definedName name="_xlnm.Print_Titles" localSheetId="1">Jan!$3:$4</definedName>
    <definedName name="_xlnm.Print_Titles" localSheetId="7">July!$3:$4</definedName>
    <definedName name="_xlnm.Print_Titles" localSheetId="6">June!$3:$4</definedName>
    <definedName name="_xlnm.Print_Titles" localSheetId="3">Mar!$3:$4</definedName>
    <definedName name="_xlnm.Print_Titles" localSheetId="5">May!$3:$4</definedName>
    <definedName name="_xlnm.Print_Titles" localSheetId="11">Nov!$3:$4</definedName>
    <definedName name="_xlnm.Print_Titles" localSheetId="10">Oct!$3:$4</definedName>
    <definedName name="_xlnm.Print_Titles" localSheetId="9">Sep!$3:$4</definedName>
    <definedName name="_xlnm.Print_Titles" localSheetId="0">Total!$3:$4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1" i="74" l="1"/>
  <c r="R51" i="74"/>
  <c r="Q51" i="74"/>
  <c r="P51" i="74"/>
  <c r="O51" i="74"/>
  <c r="N51" i="74"/>
  <c r="M51" i="74"/>
  <c r="K51" i="74"/>
  <c r="J51" i="74"/>
  <c r="I51" i="74"/>
  <c r="H51" i="74"/>
  <c r="L51" i="74"/>
  <c r="G51" i="74" l="1"/>
  <c r="S97" i="74" l="1"/>
  <c r="R97" i="74"/>
  <c r="Q97" i="74"/>
  <c r="P97" i="74"/>
  <c r="O97" i="74"/>
  <c r="N97" i="74"/>
  <c r="M97" i="74"/>
  <c r="L97" i="74"/>
  <c r="K97" i="74"/>
  <c r="J97" i="74"/>
  <c r="I97" i="74"/>
  <c r="H97" i="74"/>
  <c r="S96" i="74"/>
  <c r="R96" i="74"/>
  <c r="Q96" i="74"/>
  <c r="P96" i="74"/>
  <c r="O96" i="74"/>
  <c r="N96" i="74"/>
  <c r="M96" i="74"/>
  <c r="L96" i="74"/>
  <c r="K96" i="74"/>
  <c r="J96" i="74"/>
  <c r="I96" i="74"/>
  <c r="H96" i="74"/>
  <c r="S95" i="74"/>
  <c r="R95" i="74"/>
  <c r="Q95" i="74"/>
  <c r="P95" i="74"/>
  <c r="O95" i="74"/>
  <c r="N95" i="74"/>
  <c r="M95" i="74"/>
  <c r="L95" i="74"/>
  <c r="K95" i="74"/>
  <c r="J95" i="74"/>
  <c r="I95" i="74"/>
  <c r="H95" i="74"/>
  <c r="S94" i="74"/>
  <c r="R94" i="74"/>
  <c r="Q94" i="74"/>
  <c r="P94" i="74"/>
  <c r="O94" i="74"/>
  <c r="N94" i="74"/>
  <c r="M94" i="74"/>
  <c r="L94" i="74"/>
  <c r="K94" i="74"/>
  <c r="J94" i="74"/>
  <c r="I94" i="74"/>
  <c r="H94" i="74"/>
  <c r="S93" i="74"/>
  <c r="R93" i="74"/>
  <c r="Q93" i="74"/>
  <c r="P93" i="74"/>
  <c r="O93" i="74"/>
  <c r="N93" i="74"/>
  <c r="M93" i="74"/>
  <c r="L93" i="74"/>
  <c r="K93" i="74"/>
  <c r="J93" i="74"/>
  <c r="I93" i="74"/>
  <c r="H93" i="74"/>
  <c r="S92" i="74"/>
  <c r="R92" i="74"/>
  <c r="Q92" i="74"/>
  <c r="P92" i="74"/>
  <c r="O92" i="74"/>
  <c r="N92" i="74"/>
  <c r="M92" i="74"/>
  <c r="L92" i="74"/>
  <c r="K92" i="74"/>
  <c r="J92" i="74"/>
  <c r="I92" i="74"/>
  <c r="H92" i="74"/>
  <c r="S91" i="74"/>
  <c r="R91" i="74"/>
  <c r="Q91" i="74"/>
  <c r="P91" i="74"/>
  <c r="O91" i="74"/>
  <c r="N91" i="74"/>
  <c r="M91" i="74"/>
  <c r="L91" i="74"/>
  <c r="K91" i="74"/>
  <c r="J91" i="74"/>
  <c r="I91" i="74"/>
  <c r="H91" i="74"/>
  <c r="S90" i="74"/>
  <c r="R90" i="74"/>
  <c r="Q90" i="74"/>
  <c r="P90" i="74"/>
  <c r="O90" i="74"/>
  <c r="N90" i="74"/>
  <c r="M90" i="74"/>
  <c r="L90" i="74"/>
  <c r="K90" i="74"/>
  <c r="J90" i="74"/>
  <c r="I90" i="74"/>
  <c r="H90" i="74"/>
  <c r="S89" i="74"/>
  <c r="R89" i="74"/>
  <c r="Q89" i="74"/>
  <c r="P89" i="74"/>
  <c r="O89" i="74"/>
  <c r="N89" i="74"/>
  <c r="M89" i="74"/>
  <c r="L89" i="74"/>
  <c r="K89" i="74"/>
  <c r="J89" i="74"/>
  <c r="I89" i="74"/>
  <c r="H89" i="74"/>
  <c r="S88" i="74"/>
  <c r="R88" i="74"/>
  <c r="Q88" i="74"/>
  <c r="P88" i="74"/>
  <c r="O88" i="74"/>
  <c r="N88" i="74"/>
  <c r="M88" i="74"/>
  <c r="L88" i="74"/>
  <c r="K88" i="74"/>
  <c r="J88" i="74"/>
  <c r="I88" i="74"/>
  <c r="H88" i="74"/>
  <c r="S87" i="74"/>
  <c r="R87" i="74"/>
  <c r="Q87" i="74"/>
  <c r="P87" i="74"/>
  <c r="O87" i="74"/>
  <c r="N87" i="74"/>
  <c r="M87" i="74"/>
  <c r="L87" i="74"/>
  <c r="K87" i="74"/>
  <c r="J87" i="74"/>
  <c r="I87" i="74"/>
  <c r="H87" i="74"/>
  <c r="S86" i="74"/>
  <c r="R86" i="74"/>
  <c r="Q86" i="74"/>
  <c r="P86" i="74"/>
  <c r="O86" i="74"/>
  <c r="N86" i="74"/>
  <c r="M86" i="74"/>
  <c r="L86" i="74"/>
  <c r="K86" i="74"/>
  <c r="J86" i="74"/>
  <c r="I86" i="74"/>
  <c r="H86" i="74"/>
  <c r="S85" i="74"/>
  <c r="R85" i="74"/>
  <c r="Q85" i="74"/>
  <c r="P85" i="74"/>
  <c r="O85" i="74"/>
  <c r="N85" i="74"/>
  <c r="M85" i="74"/>
  <c r="L85" i="74"/>
  <c r="K85" i="74"/>
  <c r="J85" i="74"/>
  <c r="I85" i="74"/>
  <c r="H85" i="74"/>
  <c r="S84" i="74"/>
  <c r="R84" i="74"/>
  <c r="Q84" i="74"/>
  <c r="P84" i="74"/>
  <c r="O84" i="74"/>
  <c r="N84" i="74"/>
  <c r="M84" i="74"/>
  <c r="L84" i="74"/>
  <c r="K84" i="74"/>
  <c r="J84" i="74"/>
  <c r="I84" i="74"/>
  <c r="H84" i="74"/>
  <c r="S83" i="74"/>
  <c r="R83" i="74"/>
  <c r="Q83" i="74"/>
  <c r="P83" i="74"/>
  <c r="O83" i="74"/>
  <c r="N83" i="74"/>
  <c r="M83" i="74"/>
  <c r="L83" i="74"/>
  <c r="K83" i="74"/>
  <c r="J83" i="74"/>
  <c r="I83" i="74"/>
  <c r="H83" i="74"/>
  <c r="S82" i="74"/>
  <c r="R82" i="74"/>
  <c r="Q82" i="74"/>
  <c r="P82" i="74"/>
  <c r="O82" i="74"/>
  <c r="N82" i="74"/>
  <c r="M82" i="74"/>
  <c r="L82" i="74"/>
  <c r="K82" i="74"/>
  <c r="J82" i="74"/>
  <c r="I82" i="74"/>
  <c r="H82" i="74"/>
  <c r="S81" i="74"/>
  <c r="R81" i="74"/>
  <c r="Q81" i="74"/>
  <c r="P81" i="74"/>
  <c r="O81" i="74"/>
  <c r="N81" i="74"/>
  <c r="M81" i="74"/>
  <c r="L81" i="74"/>
  <c r="K81" i="74"/>
  <c r="J81" i="74"/>
  <c r="I81" i="74"/>
  <c r="H81" i="74"/>
  <c r="S80" i="74"/>
  <c r="R80" i="74"/>
  <c r="Q80" i="74"/>
  <c r="P80" i="74"/>
  <c r="O80" i="74"/>
  <c r="N80" i="74"/>
  <c r="M80" i="74"/>
  <c r="L80" i="74"/>
  <c r="K80" i="74"/>
  <c r="J80" i="74"/>
  <c r="I80" i="74"/>
  <c r="H80" i="74"/>
  <c r="S79" i="74"/>
  <c r="R79" i="74"/>
  <c r="Q79" i="74"/>
  <c r="P79" i="74"/>
  <c r="O79" i="74"/>
  <c r="N79" i="74"/>
  <c r="M79" i="74"/>
  <c r="L79" i="74"/>
  <c r="K79" i="74"/>
  <c r="J79" i="74"/>
  <c r="I79" i="74"/>
  <c r="H79" i="74"/>
  <c r="S107" i="74"/>
  <c r="R107" i="74"/>
  <c r="Q107" i="74"/>
  <c r="P107" i="74"/>
  <c r="O107" i="74"/>
  <c r="N107" i="74"/>
  <c r="M107" i="74"/>
  <c r="L107" i="74"/>
  <c r="K107" i="74"/>
  <c r="J107" i="74"/>
  <c r="I107" i="74"/>
  <c r="H107" i="74"/>
  <c r="S106" i="74"/>
  <c r="R106" i="74"/>
  <c r="Q106" i="74"/>
  <c r="P106" i="74"/>
  <c r="O106" i="74"/>
  <c r="N106" i="74"/>
  <c r="M106" i="74"/>
  <c r="L106" i="74"/>
  <c r="K106" i="74"/>
  <c r="J106" i="74"/>
  <c r="I106" i="74"/>
  <c r="H106" i="74"/>
  <c r="S105" i="74"/>
  <c r="R105" i="74"/>
  <c r="Q105" i="74"/>
  <c r="P105" i="74"/>
  <c r="O105" i="74"/>
  <c r="N105" i="74"/>
  <c r="M105" i="74"/>
  <c r="L105" i="74"/>
  <c r="K105" i="74"/>
  <c r="J105" i="74"/>
  <c r="I105" i="74"/>
  <c r="H105" i="74"/>
  <c r="S104" i="74"/>
  <c r="R104" i="74"/>
  <c r="Q104" i="74"/>
  <c r="P104" i="74"/>
  <c r="O104" i="74"/>
  <c r="N104" i="74"/>
  <c r="M104" i="74"/>
  <c r="L104" i="74"/>
  <c r="K104" i="74"/>
  <c r="J104" i="74"/>
  <c r="I104" i="74"/>
  <c r="H104" i="74"/>
  <c r="S103" i="74"/>
  <c r="R103" i="74"/>
  <c r="Q103" i="74"/>
  <c r="P103" i="74"/>
  <c r="O103" i="74"/>
  <c r="N103" i="74"/>
  <c r="M103" i="74"/>
  <c r="L103" i="74"/>
  <c r="K103" i="74"/>
  <c r="J103" i="74"/>
  <c r="I103" i="74"/>
  <c r="H103" i="74"/>
  <c r="S102" i="74"/>
  <c r="R102" i="74"/>
  <c r="Q102" i="74"/>
  <c r="P102" i="74"/>
  <c r="O102" i="74"/>
  <c r="N102" i="74"/>
  <c r="M102" i="74"/>
  <c r="L102" i="74"/>
  <c r="K102" i="74"/>
  <c r="J102" i="74"/>
  <c r="I102" i="74"/>
  <c r="H102" i="74"/>
  <c r="S101" i="74"/>
  <c r="R101" i="74"/>
  <c r="Q101" i="74"/>
  <c r="P101" i="74"/>
  <c r="O101" i="74"/>
  <c r="N101" i="74"/>
  <c r="M101" i="74"/>
  <c r="L101" i="74"/>
  <c r="K101" i="74"/>
  <c r="J101" i="74"/>
  <c r="I101" i="74"/>
  <c r="H101" i="74"/>
  <c r="S100" i="74"/>
  <c r="R100" i="74"/>
  <c r="Q100" i="74"/>
  <c r="P100" i="74"/>
  <c r="O100" i="74"/>
  <c r="N100" i="74"/>
  <c r="M100" i="74"/>
  <c r="L100" i="74"/>
  <c r="K100" i="74"/>
  <c r="J100" i="74"/>
  <c r="I100" i="74"/>
  <c r="H100" i="74"/>
  <c r="S76" i="74"/>
  <c r="R76" i="74"/>
  <c r="Q76" i="74"/>
  <c r="P76" i="74"/>
  <c r="O76" i="74"/>
  <c r="N76" i="74"/>
  <c r="M76" i="74"/>
  <c r="L76" i="74"/>
  <c r="K76" i="74"/>
  <c r="J76" i="74"/>
  <c r="I76" i="74"/>
  <c r="H76" i="74"/>
  <c r="S74" i="74"/>
  <c r="R74" i="74"/>
  <c r="Q74" i="74"/>
  <c r="P74" i="74"/>
  <c r="O74" i="74"/>
  <c r="N74" i="74"/>
  <c r="M74" i="74"/>
  <c r="L74" i="74"/>
  <c r="K74" i="74"/>
  <c r="J74" i="74"/>
  <c r="I74" i="74"/>
  <c r="H74" i="74"/>
  <c r="S73" i="74"/>
  <c r="R73" i="74"/>
  <c r="Q73" i="74"/>
  <c r="P73" i="74"/>
  <c r="O73" i="74"/>
  <c r="N73" i="74"/>
  <c r="M73" i="74"/>
  <c r="L73" i="74"/>
  <c r="K73" i="74"/>
  <c r="J73" i="74"/>
  <c r="I73" i="74"/>
  <c r="H73" i="74"/>
  <c r="S72" i="74"/>
  <c r="R72" i="74"/>
  <c r="Q72" i="74"/>
  <c r="P72" i="74"/>
  <c r="O72" i="74"/>
  <c r="N72" i="74"/>
  <c r="M72" i="74"/>
  <c r="L72" i="74"/>
  <c r="K72" i="74"/>
  <c r="J72" i="74"/>
  <c r="I72" i="74"/>
  <c r="H72" i="74"/>
  <c r="S71" i="74"/>
  <c r="R71" i="74"/>
  <c r="Q71" i="74"/>
  <c r="P71" i="74"/>
  <c r="O71" i="74"/>
  <c r="N71" i="74"/>
  <c r="M71" i="74"/>
  <c r="L71" i="74"/>
  <c r="K71" i="74"/>
  <c r="J71" i="74"/>
  <c r="I71" i="74"/>
  <c r="H71" i="74"/>
  <c r="S70" i="74"/>
  <c r="R70" i="74"/>
  <c r="Q70" i="74"/>
  <c r="P70" i="74"/>
  <c r="O70" i="74"/>
  <c r="N70" i="74"/>
  <c r="M70" i="74"/>
  <c r="L70" i="74"/>
  <c r="K70" i="74"/>
  <c r="J70" i="74"/>
  <c r="I70" i="74"/>
  <c r="H70" i="74"/>
  <c r="S69" i="74"/>
  <c r="R69" i="74"/>
  <c r="Q69" i="74"/>
  <c r="P69" i="74"/>
  <c r="O69" i="74"/>
  <c r="N69" i="74"/>
  <c r="M69" i="74"/>
  <c r="L69" i="74"/>
  <c r="K69" i="74"/>
  <c r="J69" i="74"/>
  <c r="I69" i="74"/>
  <c r="H69" i="74"/>
  <c r="S67" i="74"/>
  <c r="R67" i="74"/>
  <c r="Q67" i="74"/>
  <c r="P67" i="74"/>
  <c r="O67" i="74"/>
  <c r="N67" i="74"/>
  <c r="M67" i="74"/>
  <c r="L67" i="74"/>
  <c r="K67" i="74"/>
  <c r="J67" i="74"/>
  <c r="I67" i="74"/>
  <c r="H67" i="74"/>
  <c r="S66" i="74"/>
  <c r="R66" i="74"/>
  <c r="Q66" i="74"/>
  <c r="P66" i="74"/>
  <c r="O66" i="74"/>
  <c r="N66" i="74"/>
  <c r="M66" i="74"/>
  <c r="L66" i="74"/>
  <c r="K66" i="74"/>
  <c r="J66" i="74"/>
  <c r="I66" i="74"/>
  <c r="H66" i="74"/>
  <c r="S65" i="74"/>
  <c r="R65" i="74"/>
  <c r="Q65" i="74"/>
  <c r="P65" i="74"/>
  <c r="O65" i="74"/>
  <c r="N65" i="74"/>
  <c r="M65" i="74"/>
  <c r="L65" i="74"/>
  <c r="K65" i="74"/>
  <c r="J65" i="74"/>
  <c r="I65" i="74"/>
  <c r="H65" i="74"/>
  <c r="S64" i="74"/>
  <c r="R64" i="74"/>
  <c r="Q64" i="74"/>
  <c r="P64" i="74"/>
  <c r="O64" i="74"/>
  <c r="N64" i="74"/>
  <c r="M64" i="74"/>
  <c r="L64" i="74"/>
  <c r="K64" i="74"/>
  <c r="J64" i="74"/>
  <c r="I64" i="74"/>
  <c r="H64" i="74"/>
  <c r="S63" i="74"/>
  <c r="R63" i="74"/>
  <c r="Q63" i="74"/>
  <c r="P63" i="74"/>
  <c r="O63" i="74"/>
  <c r="N63" i="74"/>
  <c r="M63" i="74"/>
  <c r="L63" i="74"/>
  <c r="K63" i="74"/>
  <c r="J63" i="74"/>
  <c r="I63" i="74"/>
  <c r="H63" i="74"/>
  <c r="S62" i="74"/>
  <c r="R62" i="74"/>
  <c r="Q62" i="74"/>
  <c r="P62" i="74"/>
  <c r="O62" i="74"/>
  <c r="N62" i="74"/>
  <c r="M62" i="74"/>
  <c r="L62" i="74"/>
  <c r="K62" i="74"/>
  <c r="J62" i="74"/>
  <c r="I62" i="74"/>
  <c r="H62" i="74"/>
  <c r="S61" i="74"/>
  <c r="R61" i="74"/>
  <c r="Q61" i="74"/>
  <c r="P61" i="74"/>
  <c r="O61" i="74"/>
  <c r="N61" i="74"/>
  <c r="M61" i="74"/>
  <c r="L61" i="74"/>
  <c r="K61" i="74"/>
  <c r="J61" i="74"/>
  <c r="I61" i="74"/>
  <c r="H61" i="74"/>
  <c r="S60" i="74"/>
  <c r="R60" i="74"/>
  <c r="Q60" i="74"/>
  <c r="P60" i="74"/>
  <c r="O60" i="74"/>
  <c r="N60" i="74"/>
  <c r="M60" i="74"/>
  <c r="L60" i="74"/>
  <c r="K60" i="74"/>
  <c r="J60" i="74"/>
  <c r="I60" i="74"/>
  <c r="H60" i="74"/>
  <c r="S59" i="74"/>
  <c r="R59" i="74"/>
  <c r="Q59" i="74"/>
  <c r="P59" i="74"/>
  <c r="O59" i="74"/>
  <c r="N59" i="74"/>
  <c r="M59" i="74"/>
  <c r="L59" i="74"/>
  <c r="K59" i="74"/>
  <c r="J59" i="74"/>
  <c r="I59" i="74"/>
  <c r="H59" i="74"/>
  <c r="S58" i="74"/>
  <c r="R58" i="74"/>
  <c r="Q58" i="74"/>
  <c r="P58" i="74"/>
  <c r="O58" i="74"/>
  <c r="N58" i="74"/>
  <c r="M58" i="74"/>
  <c r="L58" i="74"/>
  <c r="K58" i="74"/>
  <c r="J58" i="74"/>
  <c r="I58" i="74"/>
  <c r="H58" i="74"/>
  <c r="S57" i="74"/>
  <c r="R57" i="74"/>
  <c r="Q57" i="74"/>
  <c r="P57" i="74"/>
  <c r="O57" i="74"/>
  <c r="N57" i="74"/>
  <c r="M57" i="74"/>
  <c r="L57" i="74"/>
  <c r="K57" i="74"/>
  <c r="J57" i="74"/>
  <c r="I57" i="74"/>
  <c r="H57" i="74"/>
  <c r="S43" i="74"/>
  <c r="R43" i="74"/>
  <c r="Q43" i="74"/>
  <c r="P43" i="74"/>
  <c r="O43" i="74"/>
  <c r="N43" i="74"/>
  <c r="M43" i="74"/>
  <c r="L43" i="74"/>
  <c r="K43" i="74"/>
  <c r="J43" i="74"/>
  <c r="I43" i="74"/>
  <c r="H43" i="74"/>
  <c r="S42" i="74"/>
  <c r="R42" i="74"/>
  <c r="Q42" i="74"/>
  <c r="P42" i="74"/>
  <c r="O42" i="74"/>
  <c r="N42" i="74"/>
  <c r="M42" i="74"/>
  <c r="L42" i="74"/>
  <c r="K42" i="74"/>
  <c r="J42" i="74"/>
  <c r="I42" i="74"/>
  <c r="H42" i="74"/>
  <c r="S41" i="74"/>
  <c r="R41" i="74"/>
  <c r="Q41" i="74"/>
  <c r="P41" i="74"/>
  <c r="O41" i="74"/>
  <c r="N41" i="74"/>
  <c r="M41" i="74"/>
  <c r="L41" i="74"/>
  <c r="K41" i="74"/>
  <c r="J41" i="74"/>
  <c r="I41" i="74"/>
  <c r="H41" i="74"/>
  <c r="S40" i="74"/>
  <c r="R40" i="74"/>
  <c r="Q40" i="74"/>
  <c r="P40" i="74"/>
  <c r="O40" i="74"/>
  <c r="N40" i="74"/>
  <c r="M40" i="74"/>
  <c r="L40" i="74"/>
  <c r="K40" i="74"/>
  <c r="J40" i="74"/>
  <c r="I40" i="74"/>
  <c r="H40" i="74"/>
  <c r="S39" i="74"/>
  <c r="R39" i="74"/>
  <c r="Q39" i="74"/>
  <c r="P39" i="74"/>
  <c r="O39" i="74"/>
  <c r="N39" i="74"/>
  <c r="M39" i="74"/>
  <c r="L39" i="74"/>
  <c r="K39" i="74"/>
  <c r="J39" i="74"/>
  <c r="I39" i="74"/>
  <c r="H39" i="74"/>
  <c r="S38" i="74"/>
  <c r="R38" i="74"/>
  <c r="Q38" i="74"/>
  <c r="P38" i="74"/>
  <c r="O38" i="74"/>
  <c r="N38" i="74"/>
  <c r="M38" i="74"/>
  <c r="L38" i="74"/>
  <c r="K38" i="74"/>
  <c r="J38" i="74"/>
  <c r="I38" i="74"/>
  <c r="H38" i="74"/>
  <c r="S55" i="74"/>
  <c r="R55" i="74"/>
  <c r="Q55" i="74"/>
  <c r="P55" i="74"/>
  <c r="O55" i="74"/>
  <c r="N55" i="74"/>
  <c r="M55" i="74"/>
  <c r="L55" i="74"/>
  <c r="K55" i="74"/>
  <c r="J55" i="74"/>
  <c r="I55" i="74"/>
  <c r="H55" i="74"/>
  <c r="S53" i="74"/>
  <c r="R53" i="74"/>
  <c r="Q53" i="74"/>
  <c r="P53" i="74"/>
  <c r="O53" i="74"/>
  <c r="N53" i="74"/>
  <c r="M53" i="74"/>
  <c r="L53" i="74"/>
  <c r="K53" i="74"/>
  <c r="J53" i="74"/>
  <c r="I53" i="74"/>
  <c r="H53" i="74"/>
  <c r="S52" i="74"/>
  <c r="R52" i="74"/>
  <c r="Q52" i="74"/>
  <c r="P52" i="74"/>
  <c r="O52" i="74"/>
  <c r="N52" i="74"/>
  <c r="M52" i="74"/>
  <c r="L52" i="74"/>
  <c r="K52" i="74"/>
  <c r="J52" i="74"/>
  <c r="I52" i="74"/>
  <c r="H52" i="74"/>
  <c r="S49" i="74"/>
  <c r="R49" i="74"/>
  <c r="Q49" i="74"/>
  <c r="P49" i="74"/>
  <c r="O49" i="74"/>
  <c r="N49" i="74"/>
  <c r="M49" i="74"/>
  <c r="L49" i="74"/>
  <c r="K49" i="74"/>
  <c r="J49" i="74"/>
  <c r="I49" i="74"/>
  <c r="H49" i="74"/>
  <c r="S48" i="74"/>
  <c r="R48" i="74"/>
  <c r="Q48" i="74"/>
  <c r="P48" i="74"/>
  <c r="O48" i="74"/>
  <c r="N48" i="74"/>
  <c r="M48" i="74"/>
  <c r="L48" i="74"/>
  <c r="K48" i="74"/>
  <c r="J48" i="74"/>
  <c r="I48" i="74"/>
  <c r="H48" i="74"/>
  <c r="S47" i="74"/>
  <c r="R47" i="74"/>
  <c r="Q47" i="74"/>
  <c r="P47" i="74"/>
  <c r="O47" i="74"/>
  <c r="N47" i="74"/>
  <c r="M47" i="74"/>
  <c r="L47" i="74"/>
  <c r="K47" i="74"/>
  <c r="J47" i="74"/>
  <c r="I47" i="74"/>
  <c r="H47" i="74"/>
  <c r="S46" i="74"/>
  <c r="R46" i="74"/>
  <c r="Q46" i="74"/>
  <c r="P46" i="74"/>
  <c r="O46" i="74"/>
  <c r="N46" i="74"/>
  <c r="M46" i="74"/>
  <c r="L46" i="74"/>
  <c r="K46" i="74"/>
  <c r="J46" i="74"/>
  <c r="I46" i="74"/>
  <c r="H46" i="74"/>
  <c r="S45" i="74"/>
  <c r="R45" i="74"/>
  <c r="Q45" i="74"/>
  <c r="P45" i="74"/>
  <c r="O45" i="74"/>
  <c r="N45" i="74"/>
  <c r="M45" i="74"/>
  <c r="L45" i="74"/>
  <c r="K45" i="74"/>
  <c r="J45" i="74"/>
  <c r="I45" i="74"/>
  <c r="H45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S31" i="74"/>
  <c r="R31" i="74"/>
  <c r="Q31" i="74"/>
  <c r="P31" i="74"/>
  <c r="O31" i="74"/>
  <c r="N31" i="74"/>
  <c r="M31" i="74"/>
  <c r="L31" i="74"/>
  <c r="K31" i="74"/>
  <c r="J31" i="74"/>
  <c r="I31" i="74"/>
  <c r="H31" i="74"/>
  <c r="S30" i="74"/>
  <c r="R30" i="74"/>
  <c r="Q30" i="74"/>
  <c r="P30" i="74"/>
  <c r="O30" i="74"/>
  <c r="N30" i="74"/>
  <c r="M30" i="74"/>
  <c r="L30" i="74"/>
  <c r="K30" i="74"/>
  <c r="J30" i="74"/>
  <c r="I30" i="74"/>
  <c r="H30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S28" i="74"/>
  <c r="R28" i="74"/>
  <c r="Q28" i="74"/>
  <c r="P28" i="74"/>
  <c r="O28" i="74"/>
  <c r="N28" i="74"/>
  <c r="M28" i="74"/>
  <c r="L28" i="74"/>
  <c r="K28" i="74"/>
  <c r="J28" i="74"/>
  <c r="I28" i="74"/>
  <c r="H28" i="74"/>
  <c r="S27" i="74"/>
  <c r="R27" i="74"/>
  <c r="Q27" i="74"/>
  <c r="P27" i="74"/>
  <c r="O27" i="74"/>
  <c r="N27" i="74"/>
  <c r="M27" i="74"/>
  <c r="L27" i="74"/>
  <c r="K27" i="74"/>
  <c r="J27" i="74"/>
  <c r="I27" i="74"/>
  <c r="H27" i="74"/>
  <c r="S26" i="74"/>
  <c r="R26" i="74"/>
  <c r="Q26" i="74"/>
  <c r="P26" i="74"/>
  <c r="O26" i="74"/>
  <c r="N26" i="74"/>
  <c r="M26" i="74"/>
  <c r="L26" i="74"/>
  <c r="K26" i="74"/>
  <c r="J26" i="74"/>
  <c r="I26" i="74"/>
  <c r="H26" i="74"/>
  <c r="S25" i="74"/>
  <c r="R25" i="74"/>
  <c r="Q25" i="74"/>
  <c r="P25" i="74"/>
  <c r="O25" i="74"/>
  <c r="N25" i="74"/>
  <c r="M25" i="74"/>
  <c r="L25" i="74"/>
  <c r="K25" i="74"/>
  <c r="J25" i="74"/>
  <c r="I25" i="74"/>
  <c r="H25" i="74"/>
  <c r="S24" i="74"/>
  <c r="R24" i="74"/>
  <c r="Q24" i="74"/>
  <c r="P24" i="74"/>
  <c r="O24" i="74"/>
  <c r="N24" i="74"/>
  <c r="M24" i="74"/>
  <c r="L24" i="74"/>
  <c r="K24" i="74"/>
  <c r="J24" i="74"/>
  <c r="I24" i="74"/>
  <c r="H24" i="74"/>
  <c r="S23" i="74"/>
  <c r="R23" i="74"/>
  <c r="Q23" i="74"/>
  <c r="P23" i="74"/>
  <c r="O23" i="74"/>
  <c r="N23" i="74"/>
  <c r="M23" i="74"/>
  <c r="L23" i="74"/>
  <c r="K23" i="74"/>
  <c r="J23" i="74"/>
  <c r="I23" i="74"/>
  <c r="H23" i="74"/>
  <c r="S22" i="74"/>
  <c r="R22" i="74"/>
  <c r="Q22" i="74"/>
  <c r="P22" i="74"/>
  <c r="O22" i="74"/>
  <c r="N22" i="74"/>
  <c r="M22" i="74"/>
  <c r="L22" i="74"/>
  <c r="K22" i="74"/>
  <c r="J22" i="74"/>
  <c r="I22" i="74"/>
  <c r="H22" i="74"/>
  <c r="S21" i="74"/>
  <c r="R21" i="74"/>
  <c r="Q21" i="74"/>
  <c r="P21" i="74"/>
  <c r="O21" i="74"/>
  <c r="N21" i="74"/>
  <c r="M21" i="74"/>
  <c r="L21" i="74"/>
  <c r="K21" i="74"/>
  <c r="J21" i="74"/>
  <c r="I21" i="74"/>
  <c r="H21" i="74"/>
  <c r="S20" i="74"/>
  <c r="R20" i="74"/>
  <c r="Q20" i="74"/>
  <c r="P20" i="74"/>
  <c r="O20" i="74"/>
  <c r="N20" i="74"/>
  <c r="M20" i="74"/>
  <c r="L20" i="74"/>
  <c r="K20" i="74"/>
  <c r="J20" i="74"/>
  <c r="I20" i="74"/>
  <c r="H20" i="74"/>
  <c r="S19" i="74"/>
  <c r="R19" i="74"/>
  <c r="Q19" i="74"/>
  <c r="P19" i="74"/>
  <c r="O19" i="74"/>
  <c r="N19" i="74"/>
  <c r="M19" i="74"/>
  <c r="L19" i="74"/>
  <c r="K19" i="74"/>
  <c r="J19" i="74"/>
  <c r="I19" i="74"/>
  <c r="H19" i="74"/>
  <c r="S18" i="74"/>
  <c r="R18" i="74"/>
  <c r="Q18" i="74"/>
  <c r="P18" i="74"/>
  <c r="O18" i="74"/>
  <c r="N18" i="74"/>
  <c r="M18" i="74"/>
  <c r="L18" i="74"/>
  <c r="K18" i="74"/>
  <c r="J18" i="74"/>
  <c r="I18" i="74"/>
  <c r="H18" i="74"/>
  <c r="S17" i="74"/>
  <c r="R17" i="74"/>
  <c r="Q17" i="74"/>
  <c r="P17" i="74"/>
  <c r="O17" i="74"/>
  <c r="N17" i="74"/>
  <c r="M17" i="74"/>
  <c r="L17" i="74"/>
  <c r="K17" i="74"/>
  <c r="J17" i="74"/>
  <c r="I17" i="74"/>
  <c r="H17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S10" i="74"/>
  <c r="R10" i="74"/>
  <c r="Q10" i="74"/>
  <c r="P10" i="74"/>
  <c r="O10" i="74"/>
  <c r="N10" i="74"/>
  <c r="M10" i="74"/>
  <c r="L10" i="74"/>
  <c r="K10" i="74"/>
  <c r="J10" i="74"/>
  <c r="I10" i="74"/>
  <c r="H10" i="74"/>
  <c r="S9" i="74"/>
  <c r="R9" i="74"/>
  <c r="Q9" i="74"/>
  <c r="P9" i="74"/>
  <c r="O9" i="74"/>
  <c r="N9" i="74"/>
  <c r="M9" i="74"/>
  <c r="L9" i="74"/>
  <c r="K9" i="74"/>
  <c r="J9" i="74"/>
  <c r="I9" i="74"/>
  <c r="H9" i="74"/>
  <c r="S8" i="74"/>
  <c r="R8" i="74"/>
  <c r="Q8" i="74"/>
  <c r="P8" i="74"/>
  <c r="O8" i="74"/>
  <c r="N8" i="74"/>
  <c r="M8" i="74"/>
  <c r="L8" i="74"/>
  <c r="K8" i="74"/>
  <c r="J8" i="74"/>
  <c r="I8" i="74"/>
  <c r="H8" i="74"/>
  <c r="S7" i="74"/>
  <c r="R7" i="74"/>
  <c r="Q7" i="74"/>
  <c r="P7" i="74"/>
  <c r="O7" i="74"/>
  <c r="N7" i="74"/>
  <c r="M7" i="74"/>
  <c r="L7" i="74"/>
  <c r="K7" i="74"/>
  <c r="J7" i="74"/>
  <c r="I7" i="74"/>
  <c r="H7" i="74"/>
  <c r="S6" i="74"/>
  <c r="R6" i="74"/>
  <c r="Q6" i="74"/>
  <c r="P6" i="74"/>
  <c r="O6" i="74"/>
  <c r="N6" i="74"/>
  <c r="M6" i="74"/>
  <c r="L6" i="74"/>
  <c r="K6" i="74"/>
  <c r="J6" i="74"/>
  <c r="I6" i="74"/>
  <c r="H6" i="74"/>
  <c r="S108" i="74" l="1"/>
  <c r="M56" i="74"/>
  <c r="L54" i="74"/>
  <c r="S50" i="74"/>
  <c r="R50" i="74"/>
  <c r="Q50" i="74"/>
  <c r="L50" i="74"/>
  <c r="K50" i="74"/>
  <c r="J50" i="74"/>
  <c r="I50" i="74"/>
  <c r="H50" i="74"/>
  <c r="G96" i="74"/>
  <c r="G80" i="74"/>
  <c r="J54" i="74"/>
  <c r="G53" i="74"/>
  <c r="G48" i="74"/>
  <c r="P50" i="74" l="1"/>
  <c r="M50" i="74"/>
  <c r="O50" i="74"/>
  <c r="N50" i="74"/>
  <c r="K37" i="74"/>
  <c r="O108" i="74"/>
  <c r="S98" i="74"/>
  <c r="O75" i="74"/>
  <c r="I75" i="74"/>
  <c r="G93" i="74"/>
  <c r="J56" i="74"/>
  <c r="Q68" i="74"/>
  <c r="G76" i="74"/>
  <c r="G82" i="74"/>
  <c r="O56" i="74"/>
  <c r="G34" i="74"/>
  <c r="G19" i="74"/>
  <c r="G35" i="74"/>
  <c r="G18" i="74"/>
  <c r="G46" i="74"/>
  <c r="G61" i="74"/>
  <c r="G66" i="74"/>
  <c r="G47" i="74"/>
  <c r="G24" i="74"/>
  <c r="G8" i="74"/>
  <c r="G26" i="74"/>
  <c r="G10" i="74"/>
  <c r="G36" i="74"/>
  <c r="G20" i="74"/>
  <c r="R108" i="74"/>
  <c r="G102" i="74"/>
  <c r="G94" i="74"/>
  <c r="G79" i="74"/>
  <c r="R77" i="74"/>
  <c r="S77" i="74"/>
  <c r="P75" i="74"/>
  <c r="Q75" i="74"/>
  <c r="R75" i="74"/>
  <c r="G69" i="74"/>
  <c r="G71" i="74"/>
  <c r="K56" i="74"/>
  <c r="L56" i="74"/>
  <c r="G62" i="74"/>
  <c r="R68" i="74"/>
  <c r="S68" i="74"/>
  <c r="G64" i="74"/>
  <c r="G63" i="74"/>
  <c r="H44" i="74"/>
  <c r="S111" i="74"/>
  <c r="I54" i="74"/>
  <c r="H54" i="74"/>
  <c r="G49" i="74"/>
  <c r="I44" i="74"/>
  <c r="M44" i="74"/>
  <c r="K44" i="74"/>
  <c r="J44" i="74"/>
  <c r="G7" i="74"/>
  <c r="H37" i="74"/>
  <c r="I37" i="74"/>
  <c r="G23" i="74"/>
  <c r="G6" i="74"/>
  <c r="G22" i="74"/>
  <c r="G21" i="74"/>
  <c r="G70" i="74"/>
  <c r="G25" i="74"/>
  <c r="P56" i="74"/>
  <c r="G67" i="74"/>
  <c r="G17" i="74"/>
  <c r="H56" i="74"/>
  <c r="O68" i="74"/>
  <c r="M75" i="74"/>
  <c r="P77" i="74"/>
  <c r="G91" i="74"/>
  <c r="Q98" i="74"/>
  <c r="M108" i="74"/>
  <c r="Q111" i="74"/>
  <c r="G33" i="74"/>
  <c r="G42" i="74"/>
  <c r="G59" i="74"/>
  <c r="G52" i="74"/>
  <c r="I56" i="74"/>
  <c r="G43" i="74"/>
  <c r="G60" i="74"/>
  <c r="P68" i="74"/>
  <c r="N75" i="74"/>
  <c r="Q77" i="74"/>
  <c r="G92" i="74"/>
  <c r="R98" i="74"/>
  <c r="N108" i="74"/>
  <c r="R111" i="74"/>
  <c r="L37" i="74"/>
  <c r="G11" i="74"/>
  <c r="G45" i="74"/>
  <c r="G100" i="74"/>
  <c r="P108" i="74"/>
  <c r="G95" i="74"/>
  <c r="G101" i="74"/>
  <c r="Q108" i="74"/>
  <c r="H98" i="74"/>
  <c r="G104" i="74"/>
  <c r="H111" i="74"/>
  <c r="G65" i="74"/>
  <c r="G83" i="74"/>
  <c r="I98" i="74"/>
  <c r="G105" i="74"/>
  <c r="I111" i="74"/>
  <c r="M37" i="74"/>
  <c r="N54" i="74"/>
  <c r="Q56" i="74"/>
  <c r="O44" i="74"/>
  <c r="H68" i="74"/>
  <c r="G73" i="74"/>
  <c r="I77" i="74"/>
  <c r="G84" i="74"/>
  <c r="J98" i="74"/>
  <c r="G106" i="74"/>
  <c r="J111" i="74"/>
  <c r="G107" i="74"/>
  <c r="K111" i="74"/>
  <c r="G81" i="74"/>
  <c r="G9" i="74"/>
  <c r="M54" i="74"/>
  <c r="N37" i="74"/>
  <c r="R56" i="74"/>
  <c r="P44" i="74"/>
  <c r="I68" i="74"/>
  <c r="G74" i="74"/>
  <c r="J77" i="74"/>
  <c r="G85" i="74"/>
  <c r="K98" i="74"/>
  <c r="G12" i="74"/>
  <c r="G28" i="74"/>
  <c r="O37" i="74"/>
  <c r="P54" i="74"/>
  <c r="S56" i="74"/>
  <c r="Q44" i="74"/>
  <c r="J68" i="74"/>
  <c r="H75" i="74"/>
  <c r="K77" i="74"/>
  <c r="G86" i="74"/>
  <c r="L98" i="74"/>
  <c r="H108" i="74"/>
  <c r="L111" i="74"/>
  <c r="M98" i="74"/>
  <c r="I108" i="74"/>
  <c r="M111" i="74"/>
  <c r="J37" i="74"/>
  <c r="G103" i="74"/>
  <c r="G72" i="74"/>
  <c r="G29" i="74"/>
  <c r="Q54" i="74"/>
  <c r="G38" i="74"/>
  <c r="R44" i="74"/>
  <c r="K68" i="74"/>
  <c r="L77" i="74"/>
  <c r="G87" i="74"/>
  <c r="G14" i="74"/>
  <c r="G30" i="74"/>
  <c r="Q37" i="74"/>
  <c r="R54" i="74"/>
  <c r="G39" i="74"/>
  <c r="S44" i="74"/>
  <c r="L68" i="74"/>
  <c r="J75" i="74"/>
  <c r="M77" i="74"/>
  <c r="G88" i="74"/>
  <c r="N98" i="74"/>
  <c r="J108" i="74"/>
  <c r="N111" i="74"/>
  <c r="K54" i="74"/>
  <c r="N56" i="74"/>
  <c r="S75" i="74"/>
  <c r="N44" i="74"/>
  <c r="H77" i="74"/>
  <c r="G27" i="74"/>
  <c r="O54" i="74"/>
  <c r="G13" i="74"/>
  <c r="P37" i="74"/>
  <c r="G15" i="74"/>
  <c r="G31" i="74"/>
  <c r="G57" i="74"/>
  <c r="G89" i="74"/>
  <c r="O98" i="74"/>
  <c r="K108" i="74"/>
  <c r="O111" i="74"/>
  <c r="L44" i="74"/>
  <c r="G97" i="74"/>
  <c r="R37" i="74"/>
  <c r="S54" i="74"/>
  <c r="G40" i="74"/>
  <c r="M68" i="74"/>
  <c r="K75" i="74"/>
  <c r="N77" i="74"/>
  <c r="G16" i="74"/>
  <c r="G32" i="74"/>
  <c r="S37" i="74"/>
  <c r="G55" i="74"/>
  <c r="G41" i="74"/>
  <c r="G58" i="74"/>
  <c r="N68" i="74"/>
  <c r="L75" i="74"/>
  <c r="O77" i="74"/>
  <c r="G90" i="74"/>
  <c r="P98" i="74"/>
  <c r="L108" i="74"/>
  <c r="P111" i="74"/>
  <c r="G50" i="74" l="1"/>
  <c r="G98" i="74"/>
  <c r="G54" i="74"/>
  <c r="L110" i="74"/>
  <c r="G111" i="74"/>
  <c r="Q110" i="74"/>
  <c r="N110" i="74"/>
  <c r="R110" i="74"/>
  <c r="P110" i="74"/>
  <c r="G108" i="74"/>
  <c r="G56" i="74"/>
  <c r="G75" i="74"/>
  <c r="J110" i="74"/>
  <c r="G68" i="74"/>
  <c r="G77" i="74"/>
  <c r="S110" i="74"/>
  <c r="G44" i="74"/>
  <c r="K110" i="74"/>
  <c r="I110" i="74"/>
  <c r="O110" i="74"/>
  <c r="H110" i="74"/>
  <c r="M110" i="74"/>
  <c r="G37" i="74"/>
  <c r="G110" i="74" l="1"/>
</calcChain>
</file>

<file path=xl/sharedStrings.xml><?xml version="1.0" encoding="utf-8"?>
<sst xmlns="http://schemas.openxmlformats.org/spreadsheetml/2006/main" count="1586" uniqueCount="128">
  <si>
    <t>U.S.A</t>
  </si>
  <si>
    <t>Sportage</t>
  </si>
  <si>
    <t>]</t>
    <phoneticPr fontId="3" type="noConversion"/>
  </si>
  <si>
    <t>(Units, %)</t>
    <phoneticPr fontId="3" type="noConversion"/>
  </si>
  <si>
    <t>Total</t>
    <phoneticPr fontId="3" type="noConversion"/>
  </si>
  <si>
    <t>Canada</t>
    <phoneticPr fontId="3" type="noConversion"/>
  </si>
  <si>
    <t>*Europe</t>
    <phoneticPr fontId="3" type="noConversion"/>
  </si>
  <si>
    <t>Eastern 
Europe</t>
    <phoneticPr fontId="3" type="noConversion"/>
  </si>
  <si>
    <t>Latin 
America</t>
    <phoneticPr fontId="3" type="noConversion"/>
  </si>
  <si>
    <t>Middle 
East</t>
    <phoneticPr fontId="3" type="noConversion"/>
  </si>
  <si>
    <t>Africa</t>
    <phoneticPr fontId="3" type="noConversion"/>
  </si>
  <si>
    <t>Asia 
Pacific</t>
    <phoneticPr fontId="3" type="noConversion"/>
  </si>
  <si>
    <t>China</t>
    <phoneticPr fontId="3" type="noConversion"/>
  </si>
  <si>
    <t>K3</t>
    <phoneticPr fontId="2" type="noConversion"/>
  </si>
  <si>
    <t>Sportage</t>
    <phoneticPr fontId="3" type="noConversion"/>
  </si>
  <si>
    <t>Sorento</t>
    <phoneticPr fontId="3" type="noConversion"/>
  </si>
  <si>
    <t>Slovakia Plant</t>
    <phoneticPr fontId="3" type="noConversion"/>
  </si>
  <si>
    <t>Optima / K5</t>
    <phoneticPr fontId="3" type="noConversion"/>
  </si>
  <si>
    <t>China Plants</t>
    <phoneticPr fontId="3" type="noConversion"/>
  </si>
  <si>
    <t>K3</t>
    <phoneticPr fontId="3" type="noConversion"/>
  </si>
  <si>
    <t>Model / Plant</t>
    <phoneticPr fontId="3" type="noConversion"/>
  </si>
  <si>
    <t>Morning / Picanto</t>
  </si>
  <si>
    <t>Morning / Picanto</t>
    <phoneticPr fontId="3" type="noConversion"/>
  </si>
  <si>
    <t>Pegas</t>
    <phoneticPr fontId="3" type="noConversion"/>
  </si>
  <si>
    <t>Seltos</t>
    <phoneticPr fontId="2" type="noConversion"/>
  </si>
  <si>
    <t>India</t>
    <phoneticPr fontId="3" type="noConversion"/>
  </si>
  <si>
    <t>Cee'd</t>
    <phoneticPr fontId="3" type="noConversion"/>
  </si>
  <si>
    <t>Cee'd CUV</t>
    <phoneticPr fontId="3" type="noConversion"/>
  </si>
  <si>
    <r>
      <t>Carnival</t>
    </r>
    <r>
      <rPr>
        <sz val="8"/>
        <rFont val="Arial"/>
        <family val="2"/>
      </rPr>
      <t xml:space="preserve"> (CKD)</t>
    </r>
    <phoneticPr fontId="3" type="noConversion"/>
  </si>
  <si>
    <t>Sorento</t>
    <phoneticPr fontId="2" type="noConversion"/>
  </si>
  <si>
    <t>Sonet</t>
    <phoneticPr fontId="2" type="noConversion"/>
  </si>
  <si>
    <t>Stonic</t>
    <phoneticPr fontId="3" type="noConversion"/>
  </si>
  <si>
    <t>Sonet</t>
    <phoneticPr fontId="3" type="noConversion"/>
  </si>
  <si>
    <t>Carens MPV</t>
    <phoneticPr fontId="3" type="noConversion"/>
  </si>
  <si>
    <t>Millitary</t>
    <phoneticPr fontId="3" type="noConversion"/>
  </si>
  <si>
    <t>Special Vehicle</t>
    <phoneticPr fontId="3" type="noConversion"/>
  </si>
  <si>
    <t>EV9</t>
    <phoneticPr fontId="3" type="noConversion"/>
  </si>
  <si>
    <t>Millitary (CKD)</t>
    <phoneticPr fontId="3" type="noConversion"/>
  </si>
  <si>
    <t>Bus (CKD)</t>
    <phoneticPr fontId="3" type="noConversion"/>
  </si>
  <si>
    <t>Telluride</t>
  </si>
  <si>
    <t>K3</t>
  </si>
  <si>
    <t>KX1</t>
  </si>
  <si>
    <t>Zhipao</t>
  </si>
  <si>
    <t>Carnival</t>
  </si>
  <si>
    <t>Carens MPV</t>
  </si>
  <si>
    <t>BEV Total</t>
    <phoneticPr fontId="3" type="noConversion"/>
  </si>
  <si>
    <t>Mexico</t>
    <phoneticPr fontId="3" type="noConversion"/>
  </si>
  <si>
    <t>EV5</t>
  </si>
  <si>
    <t>Ray</t>
    <phoneticPr fontId="3" type="noConversion"/>
  </si>
  <si>
    <t>Korea</t>
    <phoneticPr fontId="3" type="noConversion"/>
  </si>
  <si>
    <t>Korea Plants</t>
    <phoneticPr fontId="2" type="noConversion"/>
  </si>
  <si>
    <t>Pegas</t>
  </si>
  <si>
    <t>Forte</t>
  </si>
  <si>
    <t>K4</t>
    <phoneticPr fontId="3" type="noConversion"/>
  </si>
  <si>
    <t>KX3 / Seltos</t>
    <phoneticPr fontId="3" type="noConversion"/>
  </si>
  <si>
    <t>EV5</t>
    <phoneticPr fontId="3" type="noConversion"/>
  </si>
  <si>
    <t>EV9</t>
  </si>
  <si>
    <t>Bus</t>
    <phoneticPr fontId="3" type="noConversion"/>
  </si>
  <si>
    <t>Sorento</t>
  </si>
  <si>
    <t>EV6</t>
  </si>
  <si>
    <t>EV4</t>
  </si>
  <si>
    <t>EV3</t>
  </si>
  <si>
    <t>Niro Plus EV</t>
  </si>
  <si>
    <t>Niro Plus</t>
  </si>
  <si>
    <t>Niro EV</t>
  </si>
  <si>
    <t>Niro</t>
  </si>
  <si>
    <t>Soul EV</t>
  </si>
  <si>
    <t>Soul</t>
  </si>
  <si>
    <t>Seltos</t>
  </si>
  <si>
    <t>Stonic</t>
  </si>
  <si>
    <t>K9</t>
  </si>
  <si>
    <t>Stinger</t>
  </si>
  <si>
    <t>Ray EV</t>
    <phoneticPr fontId="2" type="noConversion"/>
  </si>
  <si>
    <t>India Plant</t>
    <phoneticPr fontId="3" type="noConversion"/>
  </si>
  <si>
    <r>
      <t>*Russia Plant</t>
    </r>
    <r>
      <rPr>
        <sz val="8"/>
        <rFont val="Arial"/>
        <family val="2"/>
      </rPr>
      <t xml:space="preserve">
(HMMR)</t>
    </r>
    <phoneticPr fontId="3" type="noConversion"/>
  </si>
  <si>
    <t>Soul</t>
    <phoneticPr fontId="3" type="noConversion"/>
  </si>
  <si>
    <t xml:space="preserve"> * Russia Plant : Hyundai Motor Manufacturing Russia</t>
    <phoneticPr fontId="3" type="noConversion"/>
  </si>
  <si>
    <t>Mexico Plant</t>
    <phoneticPr fontId="3" type="noConversion"/>
  </si>
  <si>
    <t>CKD</t>
    <phoneticPr fontId="3" type="noConversion"/>
  </si>
  <si>
    <t>EV9</t>
    <phoneticPr fontId="2" type="noConversion"/>
  </si>
  <si>
    <t>Tasman</t>
    <phoneticPr fontId="3" type="noConversion"/>
  </si>
  <si>
    <t>PV5</t>
    <phoneticPr fontId="3" type="noConversion"/>
  </si>
  <si>
    <t>EV2</t>
    <phoneticPr fontId="3" type="noConversion"/>
  </si>
  <si>
    <t>EV4</t>
    <phoneticPr fontId="3" type="noConversion"/>
  </si>
  <si>
    <t>Syros</t>
    <phoneticPr fontId="2" type="noConversion"/>
  </si>
  <si>
    <t>Carens MPV EV</t>
    <phoneticPr fontId="3" type="noConversion"/>
  </si>
  <si>
    <t>Niro</t>
    <phoneticPr fontId="3" type="noConversion"/>
  </si>
  <si>
    <t>EV6</t>
    <phoneticPr fontId="3" type="noConversion"/>
  </si>
  <si>
    <t>EV6</t>
    <phoneticPr fontId="2" type="noConversion"/>
  </si>
  <si>
    <t>HMGICs Plant</t>
    <phoneticPr fontId="3" type="noConversion"/>
  </si>
  <si>
    <t>Tasman (CKD)</t>
    <phoneticPr fontId="3" type="noConversion"/>
  </si>
  <si>
    <t>Bongo</t>
    <phoneticPr fontId="3" type="noConversion"/>
  </si>
  <si>
    <t>Bongo (CKD)</t>
    <phoneticPr fontId="3" type="noConversion"/>
  </si>
  <si>
    <t>Retail Sales by Country_2025</t>
  </si>
  <si>
    <t xml:space="preserve">Jan. 2025, Kia IR  </t>
  </si>
  <si>
    <t>Bongo EV</t>
    <phoneticPr fontId="3" type="noConversion"/>
  </si>
  <si>
    <t xml:space="preserve">Total. 2025, Kia IR  </t>
    <phoneticPr fontId="2" type="noConversion"/>
  </si>
  <si>
    <t xml:space="preserve">Mar. 2025, Kia IR  </t>
    <phoneticPr fontId="2" type="noConversion"/>
  </si>
  <si>
    <t xml:space="preserve">Feb. 2025, Kia IR  </t>
    <phoneticPr fontId="2" type="noConversion"/>
  </si>
  <si>
    <t xml:space="preserve">Apr. 2025, Kia IR  </t>
    <phoneticPr fontId="2" type="noConversion"/>
  </si>
  <si>
    <t xml:space="preserve">May. 2025, Kia IR  </t>
    <phoneticPr fontId="2" type="noConversion"/>
  </si>
  <si>
    <t xml:space="preserve">June. 2025, Kia IR  </t>
    <phoneticPr fontId="2" type="noConversion"/>
  </si>
  <si>
    <t xml:space="preserve">July. 2025, Kia IR  </t>
    <phoneticPr fontId="2" type="noConversion"/>
  </si>
  <si>
    <t xml:space="preserve">Aug. 2025, Kia IR  </t>
    <phoneticPr fontId="2" type="noConversion"/>
  </si>
  <si>
    <t xml:space="preserve">Sep. 2025, Kia IR  </t>
    <phoneticPr fontId="2" type="noConversion"/>
  </si>
  <si>
    <t xml:space="preserve">Ouc. 2025, Kia IR  </t>
    <phoneticPr fontId="2" type="noConversion"/>
  </si>
  <si>
    <t xml:space="preserve">Nov. 2025, Kia IR  </t>
    <phoneticPr fontId="2" type="noConversion"/>
  </si>
  <si>
    <t xml:space="preserve">Dec. 2025, Kia IR  </t>
    <phoneticPr fontId="2" type="noConversion"/>
  </si>
  <si>
    <t>Total</t>
  </si>
  <si>
    <t>Korea</t>
  </si>
  <si>
    <t>Canada</t>
  </si>
  <si>
    <t>Mexico</t>
  </si>
  <si>
    <t>*Europe</t>
  </si>
  <si>
    <t>Eastern 
Europe</t>
  </si>
  <si>
    <t>Latin 
America</t>
  </si>
  <si>
    <t>Middle 
East</t>
  </si>
  <si>
    <t>Africa</t>
  </si>
  <si>
    <t>Asia 
Pacific</t>
  </si>
  <si>
    <t>India</t>
  </si>
  <si>
    <t>China</t>
  </si>
  <si>
    <t>U.S. Plant</t>
    <phoneticPr fontId="3" type="noConversion"/>
  </si>
  <si>
    <t>Pride / Rio</t>
    <phoneticPr fontId="2" type="noConversion"/>
  </si>
  <si>
    <t>K5</t>
    <phoneticPr fontId="2" type="noConversion"/>
  </si>
  <si>
    <t>K8</t>
    <phoneticPr fontId="3" type="noConversion"/>
  </si>
  <si>
    <t>Mohave</t>
    <phoneticPr fontId="3" type="noConversion"/>
  </si>
  <si>
    <t>Carnival</t>
    <phoneticPr fontId="2" type="noConversion"/>
  </si>
  <si>
    <t>Rio (Pride)</t>
    <phoneticPr fontId="3" type="noConversion"/>
  </si>
  <si>
    <t>K5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</si>
</sst>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\ @"/>
    <numFmt numFmtId="177" formatCode="#,###\ ;\-#,###\ ;&quot;-&quot;\ \ "/>
    <numFmt numFmtId="178" formatCode="0.0%"/>
  </numFmts>
  <fonts count="25" x14ac:knownFonts="1">
    <font>
      <sz val="12"/>
      <name val="돋움체"/>
      <family val="3"/>
      <charset val="129"/>
    </font>
    <font>
      <sz val="9"/>
      <name val="돋움"/>
      <family val="3"/>
      <charset val="129"/>
    </font>
    <font>
      <sz val="8"/>
      <name val="돋움체"/>
      <family val="3"/>
      <charset val="129"/>
    </font>
    <font>
      <sz val="8"/>
      <name val="돋움"/>
      <family val="3"/>
      <charset val="129"/>
    </font>
    <font>
      <sz val="1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22"/>
      <name val="Arial"/>
      <family val="2"/>
    </font>
    <font>
      <b/>
      <i/>
      <sz val="12"/>
      <color indexed="18"/>
      <name val="Arial"/>
      <family val="2"/>
    </font>
    <font>
      <b/>
      <sz val="11"/>
      <name val="Arial"/>
      <family val="2"/>
    </font>
    <font>
      <i/>
      <sz val="12"/>
      <color indexed="18"/>
      <name val="Arial"/>
      <family val="2"/>
    </font>
    <font>
      <sz val="2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i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8"/>
      <name val="돋움"/>
      <family val="2"/>
      <charset val="129"/>
    </font>
    <font>
      <sz val="12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E5FFFF"/>
        <bgColor indexed="64"/>
      </patternFill>
    </fill>
  </fills>
  <borders count="47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/>
    <xf numFmtId="9" fontId="24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right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quotePrefix="1" applyFont="1">
      <alignment vertical="center"/>
    </xf>
    <xf numFmtId="0" fontId="11" fillId="0" borderId="0" xfId="0" applyFont="1">
      <alignment vertical="center"/>
    </xf>
    <xf numFmtId="0" fontId="12" fillId="0" borderId="0" xfId="0" quotePrefix="1" applyFo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quotePrefix="1" applyFont="1" applyAlignment="1">
      <alignment horizontal="right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left" vertical="center" wrapText="1" shrinkToFit="1"/>
    </xf>
    <xf numFmtId="0" fontId="14" fillId="0" borderId="0" xfId="0" applyFont="1" applyAlignment="1">
      <alignment horizontal="left" vertical="center" shrinkToFit="1"/>
    </xf>
    <xf numFmtId="0" fontId="19" fillId="0" borderId="0" xfId="0" applyFont="1">
      <alignment vertical="center"/>
    </xf>
    <xf numFmtId="0" fontId="14" fillId="0" borderId="0" xfId="0" applyFont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6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 wrapText="1" shrinkToFit="1"/>
    </xf>
    <xf numFmtId="17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 shrinkToFit="1"/>
    </xf>
    <xf numFmtId="176" fontId="14" fillId="0" borderId="0" xfId="0" applyNumberFormat="1" applyFont="1" applyAlignment="1">
      <alignment horizontal="center" vertical="center" wrapText="1" shrinkToFit="1"/>
    </xf>
    <xf numFmtId="0" fontId="14" fillId="0" borderId="0" xfId="0" applyFont="1" applyAlignment="1">
      <alignment horizontal="center" vertical="center"/>
    </xf>
    <xf numFmtId="0" fontId="16" fillId="0" borderId="2" xfId="0" applyFont="1" applyBorder="1">
      <alignment vertical="center"/>
    </xf>
    <xf numFmtId="0" fontId="14" fillId="0" borderId="3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wrapText="1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right" wrapText="1"/>
    </xf>
    <xf numFmtId="0" fontId="14" fillId="0" borderId="4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176" fontId="15" fillId="3" borderId="18" xfId="0" applyNumberFormat="1" applyFont="1" applyFill="1" applyBorder="1" applyAlignment="1">
      <alignment horizontal="center" vertical="center" shrinkToFit="1"/>
    </xf>
    <xf numFmtId="176" fontId="14" fillId="3" borderId="19" xfId="0" applyNumberFormat="1" applyFont="1" applyFill="1" applyBorder="1" applyAlignment="1">
      <alignment horizontal="center" vertical="center" shrinkToFit="1"/>
    </xf>
    <xf numFmtId="176" fontId="14" fillId="3" borderId="20" xfId="0" applyNumberFormat="1" applyFont="1" applyFill="1" applyBorder="1" applyAlignment="1">
      <alignment horizontal="center" vertical="center" shrinkToFit="1"/>
    </xf>
    <xf numFmtId="176" fontId="14" fillId="3" borderId="20" xfId="0" applyNumberFormat="1" applyFont="1" applyFill="1" applyBorder="1" applyAlignment="1">
      <alignment horizontal="center" vertical="center" wrapText="1" shrinkToFit="1"/>
    </xf>
    <xf numFmtId="0" fontId="5" fillId="0" borderId="21" xfId="0" applyFont="1" applyBorder="1" applyAlignment="1">
      <alignment horizontal="left" vertical="center" wrapText="1" shrinkToFit="1"/>
    </xf>
    <xf numFmtId="0" fontId="5" fillId="0" borderId="22" xfId="0" applyFont="1" applyBorder="1" applyAlignment="1">
      <alignment horizontal="left" vertical="center" wrapText="1" shrinkToFit="1"/>
    </xf>
    <xf numFmtId="0" fontId="5" fillId="0" borderId="23" xfId="0" applyFont="1" applyBorder="1" applyAlignment="1">
      <alignment horizontal="left" vertical="center" wrapText="1" shrinkToFit="1"/>
    </xf>
    <xf numFmtId="0" fontId="5" fillId="0" borderId="22" xfId="0" applyFont="1" applyBorder="1" applyAlignment="1">
      <alignment horizontal="left" vertical="center" shrinkToFit="1"/>
    </xf>
    <xf numFmtId="0" fontId="5" fillId="0" borderId="23" xfId="0" applyFont="1" applyBorder="1" applyAlignment="1">
      <alignment horizontal="left" vertical="center" shrinkToFit="1"/>
    </xf>
    <xf numFmtId="0" fontId="14" fillId="0" borderId="4" xfId="0" applyFont="1" applyBorder="1" applyAlignment="1">
      <alignment horizontal="center" vertical="center" wrapText="1" shrinkToFit="1"/>
    </xf>
    <xf numFmtId="0" fontId="14" fillId="0" borderId="3" xfId="0" applyFont="1" applyBorder="1" applyAlignment="1">
      <alignment horizontal="center" vertical="center" wrapText="1" shrinkToFit="1"/>
    </xf>
    <xf numFmtId="0" fontId="3" fillId="0" borderId="0" xfId="0" applyFont="1">
      <alignment vertical="center"/>
    </xf>
    <xf numFmtId="0" fontId="14" fillId="0" borderId="0" xfId="0" applyFont="1" applyAlignment="1">
      <alignment horizontal="left"/>
    </xf>
    <xf numFmtId="0" fontId="16" fillId="0" borderId="10" xfId="0" applyFont="1" applyBorder="1">
      <alignment vertical="center"/>
    </xf>
    <xf numFmtId="0" fontId="14" fillId="0" borderId="30" xfId="0" applyFont="1" applyBorder="1" applyAlignment="1">
      <alignment horizontal="center" vertical="center" wrapText="1" shrinkToFit="1"/>
    </xf>
    <xf numFmtId="0" fontId="14" fillId="0" borderId="22" xfId="0" applyFont="1" applyBorder="1" applyAlignment="1">
      <alignment horizontal="left" vertical="center" wrapText="1" shrinkToFit="1"/>
    </xf>
    <xf numFmtId="0" fontId="14" fillId="3" borderId="24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 shrinkToFit="1"/>
    </xf>
    <xf numFmtId="176" fontId="14" fillId="3" borderId="34" xfId="0" applyNumberFormat="1" applyFont="1" applyFill="1" applyBorder="1" applyAlignment="1">
      <alignment horizontal="center" vertical="center" shrinkToFit="1"/>
    </xf>
    <xf numFmtId="176" fontId="14" fillId="0" borderId="36" xfId="0" applyNumberFormat="1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left" vertical="center" wrapText="1" shrinkToFit="1"/>
    </xf>
    <xf numFmtId="0" fontId="16" fillId="0" borderId="39" xfId="0" applyFont="1" applyBorder="1" applyAlignment="1">
      <alignment horizontal="center" vertical="center" shrinkToFit="1"/>
    </xf>
    <xf numFmtId="0" fontId="16" fillId="0" borderId="40" xfId="0" applyFont="1" applyBorder="1" applyAlignment="1">
      <alignment horizontal="center" vertical="center" shrinkToFit="1"/>
    </xf>
    <xf numFmtId="0" fontId="5" fillId="0" borderId="23" xfId="0" quotePrefix="1" applyFont="1" applyBorder="1" applyAlignment="1">
      <alignment horizontal="left" vertical="center" shrinkToFit="1"/>
    </xf>
    <xf numFmtId="0" fontId="14" fillId="0" borderId="46" xfId="0" applyFont="1" applyBorder="1" applyAlignment="1">
      <alignment horizontal="center" vertical="center" wrapText="1" shrinkToFit="1"/>
    </xf>
    <xf numFmtId="0" fontId="14" fillId="0" borderId="6" xfId="0" applyFont="1" applyBorder="1" applyAlignment="1">
      <alignment vertical="center" shrinkToFit="1"/>
    </xf>
    <xf numFmtId="0" fontId="14" fillId="0" borderId="7" xfId="0" applyFont="1" applyBorder="1" applyAlignment="1">
      <alignment vertical="center" shrinkToFit="1"/>
    </xf>
    <xf numFmtId="0" fontId="14" fillId="0" borderId="5" xfId="0" applyFont="1" applyBorder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5" fillId="0" borderId="21" xfId="0" applyFont="1" applyBorder="1" applyAlignment="1">
      <alignment horizontal="left" vertical="center" shrinkToFit="1"/>
    </xf>
    <xf numFmtId="177" fontId="14" fillId="0" borderId="2" xfId="1" applyNumberFormat="1" applyFont="1" applyFill="1" applyBorder="1" applyAlignment="1">
      <alignment vertical="center"/>
    </xf>
    <xf numFmtId="177" fontId="14" fillId="0" borderId="8" xfId="1" applyNumberFormat="1" applyFont="1" applyFill="1" applyBorder="1" applyAlignment="1">
      <alignment vertical="center"/>
    </xf>
    <xf numFmtId="177" fontId="14" fillId="0" borderId="35" xfId="1" applyNumberFormat="1" applyFont="1" applyFill="1" applyBorder="1" applyAlignment="1">
      <alignment vertical="center"/>
    </xf>
    <xf numFmtId="177" fontId="14" fillId="0" borderId="9" xfId="1" applyNumberFormat="1" applyFont="1" applyFill="1" applyBorder="1" applyAlignment="1">
      <alignment vertical="center"/>
    </xf>
    <xf numFmtId="177" fontId="14" fillId="0" borderId="21" xfId="1" applyNumberFormat="1" applyFont="1" applyFill="1" applyBorder="1" applyAlignment="1">
      <alignment vertical="center"/>
    </xf>
    <xf numFmtId="177" fontId="14" fillId="0" borderId="1" xfId="1" applyNumberFormat="1" applyFont="1" applyFill="1" applyBorder="1" applyAlignment="1">
      <alignment vertical="center"/>
    </xf>
    <xf numFmtId="177" fontId="14" fillId="0" borderId="10" xfId="1" applyNumberFormat="1" applyFont="1" applyFill="1" applyBorder="1" applyAlignment="1">
      <alignment vertical="center"/>
    </xf>
    <xf numFmtId="177" fontId="14" fillId="0" borderId="36" xfId="1" applyNumberFormat="1" applyFont="1" applyFill="1" applyBorder="1" applyAlignment="1">
      <alignment vertical="center"/>
    </xf>
    <xf numFmtId="177" fontId="14" fillId="0" borderId="11" xfId="1" applyNumberFormat="1" applyFont="1" applyFill="1" applyBorder="1" applyAlignment="1">
      <alignment vertical="center"/>
    </xf>
    <xf numFmtId="177" fontId="14" fillId="0" borderId="22" xfId="1" applyNumberFormat="1" applyFont="1" applyFill="1" applyBorder="1" applyAlignment="1">
      <alignment vertical="center"/>
    </xf>
    <xf numFmtId="177" fontId="14" fillId="0" borderId="22" xfId="1" applyNumberFormat="1" applyFont="1" applyFill="1" applyBorder="1" applyAlignment="1">
      <alignment vertical="center" shrinkToFit="1"/>
    </xf>
    <xf numFmtId="177" fontId="18" fillId="0" borderId="22" xfId="1" applyNumberFormat="1" applyFont="1" applyFill="1" applyBorder="1" applyAlignment="1">
      <alignment vertical="center" shrinkToFit="1"/>
    </xf>
    <xf numFmtId="177" fontId="14" fillId="0" borderId="12" xfId="1" applyNumberFormat="1" applyFont="1" applyFill="1" applyBorder="1" applyAlignment="1">
      <alignment vertical="center"/>
    </xf>
    <xf numFmtId="177" fontId="14" fillId="0" borderId="13" xfId="1" applyNumberFormat="1" applyFont="1" applyFill="1" applyBorder="1" applyAlignment="1">
      <alignment vertical="center"/>
    </xf>
    <xf numFmtId="177" fontId="14" fillId="0" borderId="37" xfId="1" applyNumberFormat="1" applyFont="1" applyFill="1" applyBorder="1" applyAlignment="1">
      <alignment vertical="center"/>
    </xf>
    <xf numFmtId="177" fontId="14" fillId="0" borderId="14" xfId="1" applyNumberFormat="1" applyFont="1" applyFill="1" applyBorder="1" applyAlignment="1">
      <alignment vertical="center"/>
    </xf>
    <xf numFmtId="177" fontId="14" fillId="0" borderId="23" xfId="1" applyNumberFormat="1" applyFont="1" applyFill="1" applyBorder="1" applyAlignment="1">
      <alignment vertical="center"/>
    </xf>
    <xf numFmtId="177" fontId="20" fillId="3" borderId="15" xfId="1" applyNumberFormat="1" applyFont="1" applyFill="1" applyBorder="1" applyAlignment="1">
      <alignment vertical="center"/>
    </xf>
    <xf numFmtId="177" fontId="20" fillId="3" borderId="16" xfId="1" applyNumberFormat="1" applyFont="1" applyFill="1" applyBorder="1" applyAlignment="1">
      <alignment vertical="center"/>
    </xf>
    <xf numFmtId="177" fontId="20" fillId="3" borderId="33" xfId="1" applyNumberFormat="1" applyFont="1" applyFill="1" applyBorder="1" applyAlignment="1">
      <alignment vertical="center"/>
    </xf>
    <xf numFmtId="177" fontId="20" fillId="3" borderId="17" xfId="1" applyNumberFormat="1" applyFont="1" applyFill="1" applyBorder="1" applyAlignment="1">
      <alignment vertical="center"/>
    </xf>
    <xf numFmtId="177" fontId="20" fillId="3" borderId="25" xfId="1" applyNumberFormat="1" applyFont="1" applyFill="1" applyBorder="1" applyAlignment="1">
      <alignment vertical="center"/>
    </xf>
    <xf numFmtId="177" fontId="14" fillId="0" borderId="42" xfId="1" applyNumberFormat="1" applyFont="1" applyFill="1" applyBorder="1" applyAlignment="1">
      <alignment vertical="center"/>
    </xf>
    <xf numFmtId="177" fontId="14" fillId="0" borderId="43" xfId="1" applyNumberFormat="1" applyFont="1" applyFill="1" applyBorder="1" applyAlignment="1">
      <alignment vertical="center"/>
    </xf>
    <xf numFmtId="177" fontId="14" fillId="0" borderId="44" xfId="1" applyNumberFormat="1" applyFont="1" applyFill="1" applyBorder="1" applyAlignment="1">
      <alignment vertical="center"/>
    </xf>
    <xf numFmtId="177" fontId="14" fillId="0" borderId="45" xfId="1" applyNumberFormat="1" applyFont="1" applyFill="1" applyBorder="1" applyAlignment="1">
      <alignment vertical="center"/>
    </xf>
    <xf numFmtId="177" fontId="14" fillId="0" borderId="41" xfId="1" applyNumberFormat="1" applyFont="1" applyFill="1" applyBorder="1" applyAlignment="1">
      <alignment vertical="center"/>
    </xf>
    <xf numFmtId="177" fontId="14" fillId="0" borderId="23" xfId="1" applyNumberFormat="1" applyFont="1" applyFill="1" applyBorder="1" applyAlignment="1">
      <alignment vertical="center" shrinkToFit="1"/>
    </xf>
    <xf numFmtId="177" fontId="20" fillId="3" borderId="15" xfId="1" applyNumberFormat="1" applyFont="1" applyFill="1" applyBorder="1" applyAlignment="1">
      <alignment vertical="center" shrinkToFit="1"/>
    </xf>
    <xf numFmtId="177" fontId="20" fillId="3" borderId="16" xfId="1" applyNumberFormat="1" applyFont="1" applyFill="1" applyBorder="1" applyAlignment="1">
      <alignment vertical="center" shrinkToFit="1"/>
    </xf>
    <xf numFmtId="177" fontId="20" fillId="3" borderId="33" xfId="1" applyNumberFormat="1" applyFont="1" applyFill="1" applyBorder="1" applyAlignment="1">
      <alignment vertical="center" shrinkToFit="1"/>
    </xf>
    <xf numFmtId="177" fontId="20" fillId="3" borderId="17" xfId="1" applyNumberFormat="1" applyFont="1" applyFill="1" applyBorder="1" applyAlignment="1">
      <alignment vertical="center" shrinkToFit="1"/>
    </xf>
    <xf numFmtId="177" fontId="20" fillId="3" borderId="25" xfId="1" applyNumberFormat="1" applyFont="1" applyFill="1" applyBorder="1" applyAlignment="1">
      <alignment vertical="center" shrinkToFit="1"/>
    </xf>
    <xf numFmtId="177" fontId="14" fillId="0" borderId="30" xfId="1" applyNumberFormat="1" applyFont="1" applyFill="1" applyBorder="1" applyAlignment="1">
      <alignment horizontal="center" vertical="center" shrinkToFit="1"/>
    </xf>
    <xf numFmtId="177" fontId="14" fillId="0" borderId="34" xfId="1" applyNumberFormat="1" applyFont="1" applyFill="1" applyBorder="1" applyAlignment="1">
      <alignment vertical="center" shrinkToFit="1"/>
    </xf>
    <xf numFmtId="177" fontId="14" fillId="0" borderId="30" xfId="1" applyNumberFormat="1" applyFont="1" applyFill="1" applyBorder="1" applyAlignment="1">
      <alignment vertical="center" shrinkToFit="1"/>
    </xf>
    <xf numFmtId="177" fontId="14" fillId="0" borderId="0" xfId="1" applyNumberFormat="1" applyFont="1" applyFill="1" applyBorder="1" applyAlignment="1">
      <alignment vertical="center" shrinkToFit="1"/>
    </xf>
    <xf numFmtId="177" fontId="14" fillId="0" borderId="36" xfId="1" applyNumberFormat="1" applyFont="1" applyFill="1" applyBorder="1" applyAlignment="1">
      <alignment vertical="center" shrinkToFit="1"/>
    </xf>
    <xf numFmtId="177" fontId="20" fillId="4" borderId="2" xfId="1" applyNumberFormat="1" applyFont="1" applyFill="1" applyBorder="1" applyAlignment="1">
      <alignment vertical="center" shrinkToFit="1"/>
    </xf>
    <xf numFmtId="177" fontId="20" fillId="4" borderId="8" xfId="1" applyNumberFormat="1" applyFont="1" applyFill="1" applyBorder="1" applyAlignment="1">
      <alignment vertical="center" shrinkToFit="1"/>
    </xf>
    <xf numFmtId="177" fontId="20" fillId="4" borderId="35" xfId="1" applyNumberFormat="1" applyFont="1" applyFill="1" applyBorder="1" applyAlignment="1">
      <alignment vertical="center" shrinkToFit="1"/>
    </xf>
    <xf numFmtId="177" fontId="20" fillId="4" borderId="9" xfId="1" applyNumberFormat="1" applyFont="1" applyFill="1" applyBorder="1" applyAlignment="1">
      <alignment vertical="center" shrinkToFit="1"/>
    </xf>
    <xf numFmtId="177" fontId="20" fillId="4" borderId="21" xfId="1" applyNumberFormat="1" applyFont="1" applyFill="1" applyBorder="1" applyAlignment="1">
      <alignment vertical="center" shrinkToFit="1"/>
    </xf>
    <xf numFmtId="177" fontId="5" fillId="4" borderId="26" xfId="1" applyNumberFormat="1" applyFont="1" applyFill="1" applyBorder="1" applyAlignment="1">
      <alignment vertical="center" shrinkToFit="1"/>
    </xf>
    <xf numFmtId="177" fontId="5" fillId="4" borderId="27" xfId="1" applyNumberFormat="1" applyFont="1" applyFill="1" applyBorder="1" applyAlignment="1">
      <alignment vertical="center" shrinkToFit="1"/>
    </xf>
    <xf numFmtId="177" fontId="5" fillId="4" borderId="38" xfId="1" applyNumberFormat="1" applyFont="1" applyFill="1" applyBorder="1" applyAlignment="1">
      <alignment vertical="center" shrinkToFit="1"/>
    </xf>
    <xf numFmtId="177" fontId="5" fillId="4" borderId="28" xfId="1" applyNumberFormat="1" applyFont="1" applyFill="1" applyBorder="1" applyAlignment="1">
      <alignment vertical="center" shrinkToFit="1"/>
    </xf>
    <xf numFmtId="177" fontId="5" fillId="4" borderId="29" xfId="1" applyNumberFormat="1" applyFont="1" applyFill="1" applyBorder="1" applyAlignment="1">
      <alignment vertical="center" shrinkToFit="1"/>
    </xf>
    <xf numFmtId="177" fontId="23" fillId="0" borderId="8" xfId="1" applyNumberFormat="1" applyFont="1" applyFill="1" applyBorder="1" applyAlignment="1">
      <alignment vertical="center"/>
    </xf>
    <xf numFmtId="178" fontId="14" fillId="0" borderId="0" xfId="4" applyNumberFormat="1" applyFont="1">
      <alignment vertical="center"/>
    </xf>
    <xf numFmtId="178" fontId="14" fillId="0" borderId="0" xfId="4" applyNumberFormat="1" applyFont="1" applyAlignment="1">
      <alignment horizontal="left"/>
    </xf>
    <xf numFmtId="178" fontId="3" fillId="0" borderId="0" xfId="4" applyNumberFormat="1" applyFont="1">
      <alignment vertical="center"/>
    </xf>
    <xf numFmtId="0" fontId="6" fillId="0" borderId="0" xfId="0" quotePrefix="1" applyFont="1" applyAlignment="1">
      <alignment horizontal="right" wrapText="1"/>
    </xf>
    <xf numFmtId="17" fontId="15" fillId="3" borderId="18" xfId="0" applyNumberFormat="1" applyFont="1" applyFill="1" applyBorder="1" applyAlignment="1">
      <alignment horizontal="center" vertical="center"/>
    </xf>
    <xf numFmtId="17" fontId="15" fillId="3" borderId="30" xfId="0" applyNumberFormat="1" applyFont="1" applyFill="1" applyBorder="1" applyAlignment="1">
      <alignment horizontal="center" vertical="center"/>
    </xf>
    <xf numFmtId="17" fontId="15" fillId="3" borderId="24" xfId="0" applyNumberFormat="1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 shrinkToFit="1"/>
    </xf>
    <xf numFmtId="0" fontId="15" fillId="3" borderId="31" xfId="0" applyFont="1" applyFill="1" applyBorder="1" applyAlignment="1">
      <alignment horizontal="center" vertical="center" wrapText="1" shrinkToFit="1"/>
    </xf>
    <xf numFmtId="0" fontId="15" fillId="3" borderId="25" xfId="0" applyFont="1" applyFill="1" applyBorder="1" applyAlignment="1">
      <alignment horizontal="center" vertical="center" wrapText="1" shrinkToFit="1"/>
    </xf>
    <xf numFmtId="0" fontId="15" fillId="4" borderId="2" xfId="0" applyFont="1" applyFill="1" applyBorder="1" applyAlignment="1">
      <alignment horizontal="center" vertical="center" wrapText="1" shrinkToFit="1"/>
    </xf>
    <xf numFmtId="0" fontId="15" fillId="4" borderId="3" xfId="0" applyFont="1" applyFill="1" applyBorder="1" applyAlignment="1">
      <alignment horizontal="center" vertical="center" wrapText="1" shrinkToFit="1"/>
    </xf>
    <xf numFmtId="0" fontId="15" fillId="4" borderId="21" xfId="0" applyFont="1" applyFill="1" applyBorder="1" applyAlignment="1">
      <alignment horizontal="center" vertical="center" wrapText="1" shrinkToFit="1"/>
    </xf>
    <xf numFmtId="0" fontId="15" fillId="4" borderId="15" xfId="0" applyFont="1" applyFill="1" applyBorder="1" applyAlignment="1">
      <alignment horizontal="center" vertical="center" wrapText="1" shrinkToFit="1"/>
    </xf>
    <xf numFmtId="0" fontId="15" fillId="4" borderId="31" xfId="0" applyFont="1" applyFill="1" applyBorder="1" applyAlignment="1">
      <alignment horizontal="center" vertical="center" wrapText="1" shrinkToFit="1"/>
    </xf>
    <xf numFmtId="0" fontId="15" fillId="4" borderId="33" xfId="0" applyFont="1" applyFill="1" applyBorder="1" applyAlignment="1">
      <alignment horizontal="center" vertical="center" wrapText="1" shrinkToFit="1"/>
    </xf>
  </cellXfs>
  <cellStyles count="5">
    <cellStyle name="백분율" xfId="4" builtinId="5"/>
    <cellStyle name="쉼표 [0]" xfId="1" builtinId="6"/>
    <cellStyle name="표준" xfId="0" builtinId="0"/>
    <cellStyle name="표준 2" xfId="2" xr:uid="{00000000-0005-0000-0000-000003000000}"/>
    <cellStyle name="표준 9" xfId="3" xr:uid="{828F6F44-6F94-4CA7-BB96-6079810D5C94}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DC37-9B7E-4FDC-9C00-88D5E1DAD4FA}">
  <sheetPr>
    <tabColor theme="1"/>
    <pageSetUpPr fitToPage="1"/>
  </sheetPr>
  <dimension ref="B1:Y117"/>
  <sheetViews>
    <sheetView showGridLines="0" tabSelected="1" zoomScale="115" zoomScaleNormal="115" zoomScaleSheetLayoutView="115" workbookViewId="0">
      <pane xSplit="5" ySplit="4" topLeftCell="F5" activePane="bottomRight" state="frozen"/>
      <selection activeCell="V17" sqref="V17"/>
      <selection pane="topRight" activeCell="V17" sqref="V17"/>
      <selection pane="bottomLeft" activeCell="V17" sqref="V17"/>
      <selection pane="bottomRight" activeCell="K116" sqref="K116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8.296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96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f>Jan!G6+Feb!G6+Mar!G6+Apr!G6+May!G6+June!G6+July!G6+Aug!G6+Sep!G6+Oct!G6+Nov!G6+Dec!G6</f>
        <v>129251</v>
      </c>
      <c r="H6" s="78">
        <f>Jan!H6+Feb!H6+Mar!H6+Apr!H6+May!H6+June!H6+July!H6+Aug!H6+Sep!H6+Oct!H6+Nov!H6+Dec!H6</f>
        <v>16297</v>
      </c>
      <c r="I6" s="79">
        <f>Jan!I6+Feb!I6+Mar!I6+Apr!I6+May!I6+June!I6+July!I6+Aug!I6+Sep!I6+Oct!I6+Nov!I6+Dec!I6</f>
        <v>0</v>
      </c>
      <c r="J6" s="80">
        <f>Jan!J6+Feb!J6+Mar!J6+Apr!J6+May!J6+June!J6+July!J6+Aug!J6+Sep!J6+Oct!J6+Nov!J6+Dec!J6</f>
        <v>0</v>
      </c>
      <c r="K6" s="80">
        <f>Jan!K6+Feb!K6+Mar!K6+Apr!K6+May!K6+June!K6+July!K6+Aug!K6+Sep!K6+Oct!K6+Nov!K6+Dec!K6</f>
        <v>0</v>
      </c>
      <c r="L6" s="80">
        <f>Jan!L6+Feb!L6+Mar!L6+Apr!L6+May!L6+June!L6+July!L6+Aug!L6+Sep!L6+Oct!L6+Nov!L6+Dec!L6</f>
        <v>62504</v>
      </c>
      <c r="M6" s="80">
        <f>Jan!M6+Feb!M6+Mar!M6+Apr!M6+May!M6+June!M6+July!M6+Aug!M6+Sep!M6+Oct!M6+Nov!M6+Dec!M6</f>
        <v>1204</v>
      </c>
      <c r="N6" s="80">
        <f>Jan!N6+Feb!N6+Mar!N6+Apr!N6+May!N6+June!N6+July!N6+Aug!N6+Sep!N6+Oct!N6+Nov!N6+Dec!N6</f>
        <v>19073</v>
      </c>
      <c r="O6" s="80">
        <f>Jan!O6+Feb!O6+Mar!O6+Apr!O6+May!O6+June!O6+July!O6+Aug!O6+Sep!O6+Oct!O6+Nov!O6+Dec!O6</f>
        <v>10862</v>
      </c>
      <c r="P6" s="80">
        <f>Jan!P6+Feb!P6+Mar!P6+Apr!P6+May!P6+June!P6+July!P6+Aug!P6+Sep!P6+Oct!P6+Nov!P6+Dec!P6</f>
        <v>9993</v>
      </c>
      <c r="Q6" s="80">
        <f>Jan!Q6+Feb!Q6+Mar!Q6+Apr!Q6+May!Q6+June!Q6+July!Q6+Aug!Q6+Sep!Q6+Oct!Q6+Nov!Q6+Dec!Q6</f>
        <v>9318</v>
      </c>
      <c r="R6" s="80">
        <f>Jan!R6+Feb!R6+Mar!R6+Apr!R6+May!R6+June!R6+July!R6+Aug!R6+Sep!R6+Oct!R6+Nov!R6+Dec!R6</f>
        <v>0</v>
      </c>
      <c r="S6" s="81">
        <f>Jan!S6+Feb!S6+Mar!S6+Apr!S6+May!S6+June!S6+July!S6+Aug!S6+Sep!S6+Oct!S6+Nov!S6+Dec!S6</f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f>Jan!G7+Feb!G7+Mar!G7+Apr!G7+May!G7+June!G7+July!G7+Aug!G7+Sep!G7+Oct!G7+Nov!G7+Dec!G7</f>
        <v>-4</v>
      </c>
      <c r="H7" s="83">
        <f>Jan!H7+Feb!H7+Mar!H7+Apr!H7+May!H7+June!H7+July!H7+Aug!H7+Sep!H7+Oct!H7+Nov!H7+Dec!H7</f>
        <v>0</v>
      </c>
      <c r="I7" s="84">
        <f>Jan!I7+Feb!I7+Mar!I7+Apr!I7+May!I7+June!I7+July!I7+Aug!I7+Sep!I7+Oct!I7+Nov!I7+Dec!I7</f>
        <v>0</v>
      </c>
      <c r="J7" s="85">
        <f>Jan!J7+Feb!J7+Mar!J7+Apr!J7+May!J7+June!J7+July!J7+Aug!J7+Sep!J7+Oct!J7+Nov!J7+Dec!J7</f>
        <v>0</v>
      </c>
      <c r="K7" s="85">
        <f>Jan!K7+Feb!K7+Mar!K7+Apr!K7+May!K7+June!K7+July!K7+Aug!K7+Sep!K7+Oct!K7+Nov!K7+Dec!K7</f>
        <v>0</v>
      </c>
      <c r="L7" s="85">
        <f>Jan!L7+Feb!L7+Mar!L7+Apr!L7+May!L7+June!L7+July!L7+Aug!L7+Sep!L7+Oct!L7+Nov!L7+Dec!L7</f>
        <v>0</v>
      </c>
      <c r="M7" s="85">
        <f>Jan!M7+Feb!M7+Mar!M7+Apr!M7+May!M7+June!M7+July!M7+Aug!M7+Sep!M7+Oct!M7+Nov!M7+Dec!M7</f>
        <v>0</v>
      </c>
      <c r="N7" s="85">
        <f>Jan!N7+Feb!N7+Mar!N7+Apr!N7+May!N7+June!N7+July!N7+Aug!N7+Sep!N7+Oct!N7+Nov!N7+Dec!N7</f>
        <v>0</v>
      </c>
      <c r="O7" s="85">
        <f>Jan!O7+Feb!O7+Mar!O7+Apr!O7+May!O7+June!O7+July!O7+Aug!O7+Sep!O7+Oct!O7+Nov!O7+Dec!O7</f>
        <v>0</v>
      </c>
      <c r="P7" s="85">
        <f>Jan!P7+Feb!P7+Mar!P7+Apr!P7+May!P7+June!P7+July!P7+Aug!P7+Sep!P7+Oct!P7+Nov!P7+Dec!P7</f>
        <v>0</v>
      </c>
      <c r="Q7" s="85">
        <f>Jan!Q7+Feb!Q7+Mar!Q7+Apr!Q7+May!Q7+June!Q7+July!Q7+Aug!Q7+Sep!Q7+Oct!Q7+Nov!Q7+Dec!Q7</f>
        <v>-4</v>
      </c>
      <c r="R7" s="85">
        <f>Jan!R7+Feb!R7+Mar!R7+Apr!R7+May!R7+June!R7+July!R7+Aug!R7+Sep!R7+Oct!R7+Nov!R7+Dec!R7</f>
        <v>0</v>
      </c>
      <c r="S7" s="86">
        <f>Jan!S7+Feb!S7+Mar!S7+Apr!S7+May!S7+June!S7+July!S7+Aug!S7+Sep!S7+Oct!S7+Nov!S7+Dec!S7</f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f>Jan!G8+Feb!G8+Mar!G8+Apr!G8+May!G8+June!G8+July!G8+Aug!G8+Sep!G8+Oct!G8+Nov!G8+Dec!G8</f>
        <v>39384</v>
      </c>
      <c r="H8" s="83">
        <f>Jan!H8+Feb!H8+Mar!H8+Apr!H8+May!H8+June!H8+July!H8+Aug!H8+Sep!H8+Oct!H8+Nov!H8+Dec!H8</f>
        <v>39384</v>
      </c>
      <c r="I8" s="84">
        <f>Jan!I8+Feb!I8+Mar!I8+Apr!I8+May!I8+June!I8+July!I8+Aug!I8+Sep!I8+Oct!I8+Nov!I8+Dec!I8</f>
        <v>0</v>
      </c>
      <c r="J8" s="85">
        <f>Jan!J8+Feb!J8+Mar!J8+Apr!J8+May!J8+June!J8+July!J8+Aug!J8+Sep!J8+Oct!J8+Nov!J8+Dec!J8</f>
        <v>0</v>
      </c>
      <c r="K8" s="85">
        <f>Jan!K8+Feb!K8+Mar!K8+Apr!K8+May!K8+June!K8+July!K8+Aug!K8+Sep!K8+Oct!K8+Nov!K8+Dec!K8</f>
        <v>0</v>
      </c>
      <c r="L8" s="85">
        <f>Jan!L8+Feb!L8+Mar!L8+Apr!L8+May!L8+June!L8+July!L8+Aug!L8+Sep!L8+Oct!L8+Nov!L8+Dec!L8</f>
        <v>0</v>
      </c>
      <c r="M8" s="85">
        <f>Jan!M8+Feb!M8+Mar!M8+Apr!M8+May!M8+June!M8+July!M8+Aug!M8+Sep!M8+Oct!M8+Nov!M8+Dec!M8</f>
        <v>0</v>
      </c>
      <c r="N8" s="85">
        <f>Jan!N8+Feb!N8+Mar!N8+Apr!N8+May!N8+June!N8+July!N8+Aug!N8+Sep!N8+Oct!N8+Nov!N8+Dec!N8</f>
        <v>0</v>
      </c>
      <c r="O8" s="85">
        <f>Jan!O8+Feb!O8+Mar!O8+Apr!O8+May!O8+June!O8+July!O8+Aug!O8+Sep!O8+Oct!O8+Nov!O8+Dec!O8</f>
        <v>0</v>
      </c>
      <c r="P8" s="85">
        <f>Jan!P8+Feb!P8+Mar!P8+Apr!P8+May!P8+June!P8+July!P8+Aug!P8+Sep!P8+Oct!P8+Nov!P8+Dec!P8</f>
        <v>0</v>
      </c>
      <c r="Q8" s="85">
        <f>Jan!Q8+Feb!Q8+Mar!Q8+Apr!Q8+May!Q8+June!Q8+July!Q8+Aug!Q8+Sep!Q8+Oct!Q8+Nov!Q8+Dec!Q8</f>
        <v>0</v>
      </c>
      <c r="R8" s="85">
        <f>Jan!R8+Feb!R8+Mar!R8+Apr!R8+May!R8+June!R8+July!R8+Aug!R8+Sep!R8+Oct!R8+Nov!R8+Dec!R8</f>
        <v>0</v>
      </c>
      <c r="S8" s="86">
        <f>Jan!S8+Feb!S8+Mar!S8+Apr!S8+May!S8+June!S8+July!S8+Aug!S8+Sep!S8+Oct!S8+Nov!S8+Dec!S8</f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f>Jan!G9+Feb!G9+Mar!G9+Apr!G9+May!G9+June!G9+July!G9+Aug!G9+Sep!G9+Oct!G9+Nov!G9+Dec!G9</f>
        <v>9270</v>
      </c>
      <c r="H9" s="83">
        <f>Jan!H9+Feb!H9+Mar!H9+Apr!H9+May!H9+June!H9+July!H9+Aug!H9+Sep!H9+Oct!H9+Nov!H9+Dec!H9</f>
        <v>9270</v>
      </c>
      <c r="I9" s="84">
        <f>Jan!I9+Feb!I9+Mar!I9+Apr!I9+May!I9+June!I9+July!I9+Aug!I9+Sep!I9+Oct!I9+Nov!I9+Dec!I9</f>
        <v>0</v>
      </c>
      <c r="J9" s="85">
        <f>Jan!J9+Feb!J9+Mar!J9+Apr!J9+May!J9+June!J9+July!J9+Aug!J9+Sep!J9+Oct!J9+Nov!J9+Dec!J9</f>
        <v>0</v>
      </c>
      <c r="K9" s="85">
        <f>Jan!K9+Feb!K9+Mar!K9+Apr!K9+May!K9+June!K9+July!K9+Aug!K9+Sep!K9+Oct!K9+Nov!K9+Dec!K9</f>
        <v>0</v>
      </c>
      <c r="L9" s="85">
        <f>Jan!L9+Feb!L9+Mar!L9+Apr!L9+May!L9+June!L9+July!L9+Aug!L9+Sep!L9+Oct!L9+Nov!L9+Dec!L9</f>
        <v>0</v>
      </c>
      <c r="M9" s="85">
        <f>Jan!M9+Feb!M9+Mar!M9+Apr!M9+May!M9+June!M9+July!M9+Aug!M9+Sep!M9+Oct!M9+Nov!M9+Dec!M9</f>
        <v>0</v>
      </c>
      <c r="N9" s="85">
        <f>Jan!N9+Feb!N9+Mar!N9+Apr!N9+May!N9+June!N9+July!N9+Aug!N9+Sep!N9+Oct!N9+Nov!N9+Dec!N9</f>
        <v>0</v>
      </c>
      <c r="O9" s="85">
        <f>Jan!O9+Feb!O9+Mar!O9+Apr!O9+May!O9+June!O9+July!O9+Aug!O9+Sep!O9+Oct!O9+Nov!O9+Dec!O9</f>
        <v>0</v>
      </c>
      <c r="P9" s="85">
        <f>Jan!P9+Feb!P9+Mar!P9+Apr!P9+May!P9+June!P9+July!P9+Aug!P9+Sep!P9+Oct!P9+Nov!P9+Dec!P9</f>
        <v>0</v>
      </c>
      <c r="Q9" s="85">
        <f>Jan!Q9+Feb!Q9+Mar!Q9+Apr!Q9+May!Q9+June!Q9+July!Q9+Aug!Q9+Sep!Q9+Oct!Q9+Nov!Q9+Dec!Q9</f>
        <v>0</v>
      </c>
      <c r="R9" s="85">
        <f>Jan!R9+Feb!R9+Mar!R9+Apr!R9+May!R9+June!R9+July!R9+Aug!R9+Sep!R9+Oct!R9+Nov!R9+Dec!R9</f>
        <v>0</v>
      </c>
      <c r="S9" s="87">
        <f>Jan!S9+Feb!S9+Mar!S9+Apr!S9+May!S9+June!S9+July!S9+Aug!S9+Sep!S9+Oct!S9+Nov!S9+Dec!S9</f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f>Jan!G10+Feb!G10+Mar!G10+Apr!G10+May!G10+June!G10+July!G10+Aug!G10+Sep!G10+Oct!G10+Nov!G10+Dec!G10</f>
        <v>2062</v>
      </c>
      <c r="H10" s="83">
        <f>Jan!H10+Feb!H10+Mar!H10+Apr!H10+May!H10+June!H10+July!H10+Aug!H10+Sep!H10+Oct!H10+Nov!H10+Dec!H10</f>
        <v>0</v>
      </c>
      <c r="I10" s="84">
        <f>Jan!I10+Feb!I10+Mar!I10+Apr!I10+May!I10+June!I10+July!I10+Aug!I10+Sep!I10+Oct!I10+Nov!I10+Dec!I10</f>
        <v>0</v>
      </c>
      <c r="J10" s="85">
        <f>Jan!J10+Feb!J10+Mar!J10+Apr!J10+May!J10+June!J10+July!J10+Aug!J10+Sep!J10+Oct!J10+Nov!J10+Dec!J10</f>
        <v>27</v>
      </c>
      <c r="K10" s="85">
        <f>Jan!K10+Feb!K10+Mar!K10+Apr!K10+May!K10+June!K10+July!K10+Aug!K10+Sep!K10+Oct!K10+Nov!K10+Dec!K10</f>
        <v>3</v>
      </c>
      <c r="L10" s="85">
        <f>Jan!L10+Feb!L10+Mar!L10+Apr!L10+May!L10+June!L10+July!L10+Aug!L10+Sep!L10+Oct!L10+Nov!L10+Dec!L10</f>
        <v>0</v>
      </c>
      <c r="M10" s="85">
        <f>Jan!M10+Feb!M10+Mar!M10+Apr!M10+May!M10+June!M10+July!M10+Aug!M10+Sep!M10+Oct!M10+Nov!M10+Dec!M10</f>
        <v>130</v>
      </c>
      <c r="N10" s="85">
        <f>Jan!N10+Feb!N10+Mar!N10+Apr!N10+May!N10+June!N10+July!N10+Aug!N10+Sep!N10+Oct!N10+Nov!N10+Dec!N10</f>
        <v>19</v>
      </c>
      <c r="O10" s="85">
        <f>Jan!O10+Feb!O10+Mar!O10+Apr!O10+May!O10+June!O10+July!O10+Aug!O10+Sep!O10+Oct!O10+Nov!O10+Dec!O10</f>
        <v>545</v>
      </c>
      <c r="P10" s="85">
        <f>Jan!P10+Feb!P10+Mar!P10+Apr!P10+May!P10+June!P10+July!P10+Aug!P10+Sep!P10+Oct!P10+Nov!P10+Dec!P10</f>
        <v>203</v>
      </c>
      <c r="Q10" s="85">
        <f>Jan!Q10+Feb!Q10+Mar!Q10+Apr!Q10+May!Q10+June!Q10+July!Q10+Aug!Q10+Sep!Q10+Oct!Q10+Nov!Q10+Dec!Q10</f>
        <v>1135</v>
      </c>
      <c r="R10" s="85">
        <f>Jan!R10+Feb!R10+Mar!R10+Apr!R10+May!R10+June!R10+July!R10+Aug!R10+Sep!R10+Oct!R10+Nov!R10+Dec!R10</f>
        <v>0</v>
      </c>
      <c r="S10" s="88">
        <f>Jan!S10+Feb!S10+Mar!S10+Apr!S10+May!S10+June!S10+July!S10+Aug!S10+Sep!S10+Oct!S10+Nov!S10+Dec!S10</f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f>Jan!G11+Feb!G11+Mar!G11+Apr!G11+May!G11+June!G11+July!G11+Aug!G11+Sep!G11+Oct!G11+Nov!G11+Dec!G11</f>
        <v>118845</v>
      </c>
      <c r="H11" s="83">
        <f>Jan!H11+Feb!H11+Mar!H11+Apr!H11+May!H11+June!H11+July!H11+Aug!H11+Sep!H11+Oct!H11+Nov!H11+Dec!H11</f>
        <v>36598</v>
      </c>
      <c r="I11" s="84">
        <f>Jan!I11+Feb!I11+Mar!I11+Apr!I11+May!I11+June!I11+July!I11+Aug!I11+Sep!I11+Oct!I11+Nov!I11+Dec!I11</f>
        <v>72748</v>
      </c>
      <c r="J11" s="85">
        <f>Jan!J11+Feb!J11+Mar!J11+Apr!J11+May!J11+June!J11+July!J11+Aug!J11+Sep!J11+Oct!J11+Nov!J11+Dec!J11</f>
        <v>0</v>
      </c>
      <c r="K11" s="85">
        <f>Jan!K11+Feb!K11+Mar!K11+Apr!K11+May!K11+June!K11+July!K11+Aug!K11+Sep!K11+Oct!K11+Nov!K11+Dec!K11</f>
        <v>0</v>
      </c>
      <c r="L11" s="85">
        <f>Jan!L11+Feb!L11+Mar!L11+Apr!L11+May!L11+June!L11+July!L11+Aug!L11+Sep!L11+Oct!L11+Nov!L11+Dec!L11</f>
        <v>23</v>
      </c>
      <c r="M11" s="85">
        <f>Jan!M11+Feb!M11+Mar!M11+Apr!M11+May!M11+June!M11+July!M11+Aug!M11+Sep!M11+Oct!M11+Nov!M11+Dec!M11</f>
        <v>63</v>
      </c>
      <c r="N11" s="85">
        <f>Jan!N11+Feb!N11+Mar!N11+Apr!N11+May!N11+June!N11+July!N11+Aug!N11+Sep!N11+Oct!N11+Nov!N11+Dec!N11</f>
        <v>147</v>
      </c>
      <c r="O11" s="85">
        <f>Jan!O11+Feb!O11+Mar!O11+Apr!O11+May!O11+June!O11+July!O11+Aug!O11+Sep!O11+Oct!O11+Nov!O11+Dec!O11</f>
        <v>9232</v>
      </c>
      <c r="P11" s="85">
        <f>Jan!P11+Feb!P11+Mar!P11+Apr!P11+May!P11+June!P11+July!P11+Aug!P11+Sep!P11+Oct!P11+Nov!P11+Dec!P11</f>
        <v>10</v>
      </c>
      <c r="Q11" s="85">
        <f>Jan!Q11+Feb!Q11+Mar!Q11+Apr!Q11+May!Q11+June!Q11+July!Q11+Aug!Q11+Sep!Q11+Oct!Q11+Nov!Q11+Dec!Q11</f>
        <v>24</v>
      </c>
      <c r="R11" s="85">
        <f>Jan!R11+Feb!R11+Mar!R11+Apr!R11+May!R11+June!R11+July!R11+Aug!R11+Sep!R11+Oct!R11+Nov!R11+Dec!R11</f>
        <v>0</v>
      </c>
      <c r="S11" s="88">
        <f>Jan!S11+Feb!S11+Mar!S11+Apr!S11+May!S11+June!S11+July!S11+Aug!S11+Sep!S11+Oct!S11+Nov!S11+Dec!S11</f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f>Jan!G12+Feb!G12+Mar!G12+Apr!G12+May!G12+June!G12+July!G12+Aug!G12+Sep!G12+Oct!G12+Nov!G12+Dec!G12</f>
        <v>3</v>
      </c>
      <c r="H12" s="83">
        <f>Jan!H12+Feb!H12+Mar!H12+Apr!H12+May!H12+June!H12+July!H12+Aug!H12+Sep!H12+Oct!H12+Nov!H12+Dec!H12</f>
        <v>0</v>
      </c>
      <c r="I12" s="84">
        <f>Jan!I12+Feb!I12+Mar!I12+Apr!I12+May!I12+June!I12+July!I12+Aug!I12+Sep!I12+Oct!I12+Nov!I12+Dec!I12</f>
        <v>0</v>
      </c>
      <c r="J12" s="85">
        <f>Jan!J12+Feb!J12+Mar!J12+Apr!J12+May!J12+June!J12+July!J12+Aug!J12+Sep!J12+Oct!J12+Nov!J12+Dec!J12</f>
        <v>0</v>
      </c>
      <c r="K12" s="85">
        <f>Jan!K12+Feb!K12+Mar!K12+Apr!K12+May!K12+June!K12+July!K12+Aug!K12+Sep!K12+Oct!K12+Nov!K12+Dec!K12</f>
        <v>0</v>
      </c>
      <c r="L12" s="85">
        <f>Jan!L12+Feb!L12+Mar!L12+Apr!L12+May!L12+June!L12+July!L12+Aug!L12+Sep!L12+Oct!L12+Nov!L12+Dec!L12</f>
        <v>1</v>
      </c>
      <c r="M12" s="85">
        <f>Jan!M12+Feb!M12+Mar!M12+Apr!M12+May!M12+June!M12+July!M12+Aug!M12+Sep!M12+Oct!M12+Nov!M12+Dec!M12</f>
        <v>0</v>
      </c>
      <c r="N12" s="85">
        <f>Jan!N12+Feb!N12+Mar!N12+Apr!N12+May!N12+June!N12+July!N12+Aug!N12+Sep!N12+Oct!N12+Nov!N12+Dec!N12</f>
        <v>0</v>
      </c>
      <c r="O12" s="85">
        <f>Jan!O12+Feb!O12+Mar!O12+Apr!O12+May!O12+June!O12+July!O12+Aug!O12+Sep!O12+Oct!O12+Nov!O12+Dec!O12</f>
        <v>0</v>
      </c>
      <c r="P12" s="85">
        <f>Jan!P12+Feb!P12+Mar!P12+Apr!P12+May!P12+June!P12+July!P12+Aug!P12+Sep!P12+Oct!P12+Nov!P12+Dec!P12</f>
        <v>2</v>
      </c>
      <c r="Q12" s="85">
        <f>Jan!Q12+Feb!Q12+Mar!Q12+Apr!Q12+May!Q12+June!Q12+July!Q12+Aug!Q12+Sep!Q12+Oct!Q12+Nov!Q12+Dec!Q12</f>
        <v>0</v>
      </c>
      <c r="R12" s="85">
        <f>Jan!R12+Feb!R12+Mar!R12+Apr!R12+May!R12+June!R12+July!R12+Aug!R12+Sep!R12+Oct!R12+Nov!R12+Dec!R12</f>
        <v>0</v>
      </c>
      <c r="S12" s="86">
        <f>Jan!S12+Feb!S12+Mar!S12+Apr!S12+May!S12+June!S12+July!S12+Aug!S12+Sep!S12+Oct!S12+Nov!S12+Dec!S12</f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f>Jan!G13+Feb!G13+Mar!G13+Apr!G13+May!G13+June!G13+July!G13+Aug!G13+Sep!G13+Oct!G13+Nov!G13+Dec!G13</f>
        <v>29141</v>
      </c>
      <c r="H13" s="83">
        <f>Jan!H13+Feb!H13+Mar!H13+Apr!H13+May!H13+June!H13+July!H13+Aug!H13+Sep!H13+Oct!H13+Nov!H13+Dec!H13</f>
        <v>28154</v>
      </c>
      <c r="I13" s="84">
        <f>Jan!I13+Feb!I13+Mar!I13+Apr!I13+May!I13+June!I13+July!I13+Aug!I13+Sep!I13+Oct!I13+Nov!I13+Dec!I13</f>
        <v>0</v>
      </c>
      <c r="J13" s="85">
        <f>Jan!J13+Feb!J13+Mar!J13+Apr!J13+May!J13+June!J13+July!J13+Aug!J13+Sep!J13+Oct!J13+Nov!J13+Dec!J13</f>
        <v>0</v>
      </c>
      <c r="K13" s="85">
        <f>Jan!K13+Feb!K13+Mar!K13+Apr!K13+May!K13+June!K13+July!K13+Aug!K13+Sep!K13+Oct!K13+Nov!K13+Dec!K13</f>
        <v>0</v>
      </c>
      <c r="L13" s="85">
        <f>Jan!L13+Feb!L13+Mar!L13+Apr!L13+May!L13+June!L13+July!L13+Aug!L13+Sep!L13+Oct!L13+Nov!L13+Dec!L13</f>
        <v>0</v>
      </c>
      <c r="M13" s="85">
        <f>Jan!M13+Feb!M13+Mar!M13+Apr!M13+May!M13+June!M13+July!M13+Aug!M13+Sep!M13+Oct!M13+Nov!M13+Dec!M13</f>
        <v>186</v>
      </c>
      <c r="N13" s="85">
        <f>Jan!N13+Feb!N13+Mar!N13+Apr!N13+May!N13+June!N13+July!N13+Aug!N13+Sep!N13+Oct!N13+Nov!N13+Dec!N13</f>
        <v>0</v>
      </c>
      <c r="O13" s="85">
        <f>Jan!O13+Feb!O13+Mar!O13+Apr!O13+May!O13+June!O13+July!O13+Aug!O13+Sep!O13+Oct!O13+Nov!O13+Dec!O13</f>
        <v>792</v>
      </c>
      <c r="P13" s="85">
        <f>Jan!P13+Feb!P13+Mar!P13+Apr!P13+May!P13+June!P13+July!P13+Aug!P13+Sep!P13+Oct!P13+Nov!P13+Dec!P13</f>
        <v>4</v>
      </c>
      <c r="Q13" s="85">
        <f>Jan!Q13+Feb!Q13+Mar!Q13+Apr!Q13+May!Q13+June!Q13+July!Q13+Aug!Q13+Sep!Q13+Oct!Q13+Nov!Q13+Dec!Q13</f>
        <v>5</v>
      </c>
      <c r="R13" s="85">
        <f>Jan!R13+Feb!R13+Mar!R13+Apr!R13+May!R13+June!R13+July!R13+Aug!R13+Sep!R13+Oct!R13+Nov!R13+Dec!R13</f>
        <v>0</v>
      </c>
      <c r="S13" s="86">
        <f>Jan!S13+Feb!S13+Mar!S13+Apr!S13+May!S13+June!S13+July!S13+Aug!S13+Sep!S13+Oct!S13+Nov!S13+Dec!S13</f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f>Jan!G14+Feb!G14+Mar!G14+Apr!G14+May!G14+June!G14+July!G14+Aug!G14+Sep!G14+Oct!G14+Nov!G14+Dec!G14</f>
        <v>1621</v>
      </c>
      <c r="H14" s="83">
        <f>Jan!H14+Feb!H14+Mar!H14+Apr!H14+May!H14+June!H14+July!H14+Aug!H14+Sep!H14+Oct!H14+Nov!H14+Dec!H14</f>
        <v>1581</v>
      </c>
      <c r="I14" s="84">
        <f>Jan!I14+Feb!I14+Mar!I14+Apr!I14+May!I14+June!I14+July!I14+Aug!I14+Sep!I14+Oct!I14+Nov!I14+Dec!I14</f>
        <v>0</v>
      </c>
      <c r="J14" s="85">
        <f>Jan!J14+Feb!J14+Mar!J14+Apr!J14+May!J14+June!J14+July!J14+Aug!J14+Sep!J14+Oct!J14+Nov!J14+Dec!J14</f>
        <v>0</v>
      </c>
      <c r="K14" s="85">
        <f>Jan!K14+Feb!K14+Mar!K14+Apr!K14+May!K14+June!K14+July!K14+Aug!K14+Sep!K14+Oct!K14+Nov!K14+Dec!K14</f>
        <v>0</v>
      </c>
      <c r="L14" s="85">
        <f>Jan!L14+Feb!L14+Mar!L14+Apr!L14+May!L14+June!L14+July!L14+Aug!L14+Sep!L14+Oct!L14+Nov!L14+Dec!L14</f>
        <v>0</v>
      </c>
      <c r="M14" s="85">
        <f>Jan!M14+Feb!M14+Mar!M14+Apr!M14+May!M14+June!M14+July!M14+Aug!M14+Sep!M14+Oct!M14+Nov!M14+Dec!M14</f>
        <v>39</v>
      </c>
      <c r="N14" s="85">
        <f>Jan!N14+Feb!N14+Mar!N14+Apr!N14+May!N14+June!N14+July!N14+Aug!N14+Sep!N14+Oct!N14+Nov!N14+Dec!N14</f>
        <v>0</v>
      </c>
      <c r="O14" s="85">
        <f>Jan!O14+Feb!O14+Mar!O14+Apr!O14+May!O14+June!O14+July!O14+Aug!O14+Sep!O14+Oct!O14+Nov!O14+Dec!O14</f>
        <v>1</v>
      </c>
      <c r="P14" s="85">
        <f>Jan!P14+Feb!P14+Mar!P14+Apr!P14+May!P14+June!P14+July!P14+Aug!P14+Sep!P14+Oct!P14+Nov!P14+Dec!P14</f>
        <v>0</v>
      </c>
      <c r="Q14" s="85">
        <f>Jan!Q14+Feb!Q14+Mar!Q14+Apr!Q14+May!Q14+June!Q14+July!Q14+Aug!Q14+Sep!Q14+Oct!Q14+Nov!Q14+Dec!Q14</f>
        <v>0</v>
      </c>
      <c r="R14" s="85">
        <f>Jan!R14+Feb!R14+Mar!R14+Apr!R14+May!R14+June!R14+July!R14+Aug!R14+Sep!R14+Oct!R14+Nov!R14+Dec!R14</f>
        <v>0</v>
      </c>
      <c r="S14" s="86">
        <f>Jan!S14+Feb!S14+Mar!S14+Apr!S14+May!S14+June!S14+July!S14+Aug!S14+Sep!S14+Oct!S14+Nov!S14+Dec!S14</f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f>Jan!G15+Feb!G15+Mar!G15+Apr!G15+May!G15+June!G15+July!G15+Aug!G15+Sep!G15+Oct!G15+Nov!G15+Dec!G15</f>
        <v>74394</v>
      </c>
      <c r="H15" s="83">
        <f>Jan!H15+Feb!H15+Mar!H15+Apr!H15+May!H15+June!H15+July!H15+Aug!H15+Sep!H15+Oct!H15+Nov!H15+Dec!H15</f>
        <v>0</v>
      </c>
      <c r="I15" s="84">
        <f>Jan!I15+Feb!I15+Mar!I15+Apr!I15+May!I15+June!I15+July!I15+Aug!I15+Sep!I15+Oct!I15+Nov!I15+Dec!I15</f>
        <v>0</v>
      </c>
      <c r="J15" s="85">
        <f>Jan!J15+Feb!J15+Mar!J15+Apr!J15+May!J15+June!J15+July!J15+Aug!J15+Sep!J15+Oct!J15+Nov!J15+Dec!J15</f>
        <v>0</v>
      </c>
      <c r="K15" s="85">
        <f>Jan!K15+Feb!K15+Mar!K15+Apr!K15+May!K15+June!K15+July!K15+Aug!K15+Sep!K15+Oct!K15+Nov!K15+Dec!K15</f>
        <v>0</v>
      </c>
      <c r="L15" s="85">
        <f>Jan!L15+Feb!L15+Mar!L15+Apr!L15+May!L15+June!L15+July!L15+Aug!L15+Sep!L15+Oct!L15+Nov!L15+Dec!L15</f>
        <v>53288</v>
      </c>
      <c r="M15" s="85">
        <f>Jan!M15+Feb!M15+Mar!M15+Apr!M15+May!M15+June!M15+July!M15+Aug!M15+Sep!M15+Oct!M15+Nov!M15+Dec!M15</f>
        <v>3481</v>
      </c>
      <c r="N15" s="85">
        <f>Jan!N15+Feb!N15+Mar!N15+Apr!N15+May!N15+June!N15+July!N15+Aug!N15+Sep!N15+Oct!N15+Nov!N15+Dec!N15</f>
        <v>2290</v>
      </c>
      <c r="O15" s="85">
        <f>Jan!O15+Feb!O15+Mar!O15+Apr!O15+May!O15+June!O15+July!O15+Aug!O15+Sep!O15+Oct!O15+Nov!O15+Dec!O15</f>
        <v>3209</v>
      </c>
      <c r="P15" s="85">
        <f>Jan!P15+Feb!P15+Mar!P15+Apr!P15+May!P15+June!P15+July!P15+Aug!P15+Sep!P15+Oct!P15+Nov!P15+Dec!P15</f>
        <v>3728</v>
      </c>
      <c r="Q15" s="85">
        <f>Jan!Q15+Feb!Q15+Mar!Q15+Apr!Q15+May!Q15+June!Q15+July!Q15+Aug!Q15+Sep!Q15+Oct!Q15+Nov!Q15+Dec!Q15</f>
        <v>8398</v>
      </c>
      <c r="R15" s="85">
        <f>Jan!R15+Feb!R15+Mar!R15+Apr!R15+May!R15+June!R15+July!R15+Aug!R15+Sep!R15+Oct!R15+Nov!R15+Dec!R15</f>
        <v>0</v>
      </c>
      <c r="S15" s="86">
        <f>Jan!S15+Feb!S15+Mar!S15+Apr!S15+May!S15+June!S15+July!S15+Aug!S15+Sep!S15+Oct!S15+Nov!S15+Dec!S15</f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f>Jan!G16+Feb!G16+Mar!G16+Apr!G16+May!G16+June!G16+July!G16+Aug!G16+Sep!G16+Oct!G16+Nov!G16+Dec!G16</f>
        <v>156797</v>
      </c>
      <c r="H16" s="83">
        <f>Jan!H16+Feb!H16+Mar!H16+Apr!H16+May!H16+June!H16+July!H16+Aug!H16+Sep!H16+Oct!H16+Nov!H16+Dec!H16</f>
        <v>55917</v>
      </c>
      <c r="I16" s="84">
        <f>Jan!I16+Feb!I16+Mar!I16+Apr!I16+May!I16+June!I16+July!I16+Aug!I16+Sep!I16+Oct!I16+Nov!I16+Dec!I16</f>
        <v>56798</v>
      </c>
      <c r="J16" s="85">
        <f>Jan!J16+Feb!J16+Mar!J16+Apr!J16+May!J16+June!J16+July!J16+Aug!J16+Sep!J16+Oct!J16+Nov!J16+Dec!J16</f>
        <v>21276</v>
      </c>
      <c r="K16" s="85">
        <f>Jan!K16+Feb!K16+Mar!K16+Apr!K16+May!K16+June!K16+July!K16+Aug!K16+Sep!K16+Oct!K16+Nov!K16+Dec!K16</f>
        <v>0</v>
      </c>
      <c r="L16" s="85">
        <f>Jan!L16+Feb!L16+Mar!L16+Apr!L16+May!L16+June!L16+July!L16+Aug!L16+Sep!L16+Oct!L16+Nov!L16+Dec!L16</f>
        <v>0</v>
      </c>
      <c r="M16" s="85">
        <f>Jan!M16+Feb!M16+Mar!M16+Apr!M16+May!M16+June!M16+July!M16+Aug!M16+Sep!M16+Oct!M16+Nov!M16+Dec!M16</f>
        <v>1620</v>
      </c>
      <c r="N16" s="85">
        <f>Jan!N16+Feb!N16+Mar!N16+Apr!N16+May!N16+June!N16+July!N16+Aug!N16+Sep!N16+Oct!N16+Nov!N16+Dec!N16</f>
        <v>6044</v>
      </c>
      <c r="O16" s="85">
        <f>Jan!O16+Feb!O16+Mar!O16+Apr!O16+May!O16+June!O16+July!O16+Aug!O16+Sep!O16+Oct!O16+Nov!O16+Dec!O16</f>
        <v>2664</v>
      </c>
      <c r="P16" s="85">
        <f>Jan!P16+Feb!P16+Mar!P16+Apr!P16+May!P16+June!P16+July!P16+Aug!P16+Sep!P16+Oct!P16+Nov!P16+Dec!P16</f>
        <v>0</v>
      </c>
      <c r="Q16" s="85">
        <f>Jan!Q16+Feb!Q16+Mar!Q16+Apr!Q16+May!Q16+June!Q16+July!Q16+Aug!Q16+Sep!Q16+Oct!Q16+Nov!Q16+Dec!Q16</f>
        <v>12478</v>
      </c>
      <c r="R16" s="85">
        <f>Jan!R16+Feb!R16+Mar!R16+Apr!R16+May!R16+June!R16+July!R16+Aug!R16+Sep!R16+Oct!R16+Nov!R16+Dec!R16</f>
        <v>0</v>
      </c>
      <c r="S16" s="86">
        <f>Jan!S16+Feb!S16+Mar!S16+Apr!S16+May!S16+June!S16+July!S16+Aug!S16+Sep!S16+Oct!S16+Nov!S16+Dec!S16</f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f>Jan!G17+Feb!G17+Mar!G17+Apr!G17+May!G17+June!G17+July!G17+Aug!G17+Sep!G17+Oct!G17+Nov!G17+Dec!G17</f>
        <v>54183</v>
      </c>
      <c r="H17" s="83">
        <f>Jan!H17+Feb!H17+Mar!H17+Apr!H17+May!H17+June!H17+July!H17+Aug!H17+Sep!H17+Oct!H17+Nov!H17+Dec!H17</f>
        <v>0</v>
      </c>
      <c r="I17" s="84">
        <f>Jan!I17+Feb!I17+Mar!I17+Apr!I17+May!I17+June!I17+July!I17+Aug!I17+Sep!I17+Oct!I17+Nov!I17+Dec!I17</f>
        <v>50133</v>
      </c>
      <c r="J17" s="85">
        <f>Jan!J17+Feb!J17+Mar!J17+Apr!J17+May!J17+June!J17+July!J17+Aug!J17+Sep!J17+Oct!J17+Nov!J17+Dec!J17</f>
        <v>704</v>
      </c>
      <c r="K17" s="85">
        <f>Jan!K17+Feb!K17+Mar!K17+Apr!K17+May!K17+June!K17+July!K17+Aug!K17+Sep!K17+Oct!K17+Nov!K17+Dec!K17</f>
        <v>28</v>
      </c>
      <c r="L17" s="85">
        <f>Jan!L17+Feb!L17+Mar!L17+Apr!L17+May!L17+June!L17+July!L17+Aug!L17+Sep!L17+Oct!L17+Nov!L17+Dec!L17</f>
        <v>0</v>
      </c>
      <c r="M17" s="85">
        <f>Jan!M17+Feb!M17+Mar!M17+Apr!M17+May!M17+June!M17+July!M17+Aug!M17+Sep!M17+Oct!M17+Nov!M17+Dec!M17</f>
        <v>367</v>
      </c>
      <c r="N17" s="85">
        <f>Jan!N17+Feb!N17+Mar!N17+Apr!N17+May!N17+June!N17+July!N17+Aug!N17+Sep!N17+Oct!N17+Nov!N17+Dec!N17</f>
        <v>2886</v>
      </c>
      <c r="O17" s="85">
        <f>Jan!O17+Feb!O17+Mar!O17+Apr!O17+May!O17+June!O17+July!O17+Aug!O17+Sep!O17+Oct!O17+Nov!O17+Dec!O17</f>
        <v>0</v>
      </c>
      <c r="P17" s="85">
        <f>Jan!P17+Feb!P17+Mar!P17+Apr!P17+May!P17+June!P17+July!P17+Aug!P17+Sep!P17+Oct!P17+Nov!P17+Dec!P17</f>
        <v>0</v>
      </c>
      <c r="Q17" s="85">
        <f>Jan!Q17+Feb!Q17+Mar!Q17+Apr!Q17+May!Q17+June!Q17+July!Q17+Aug!Q17+Sep!Q17+Oct!Q17+Nov!Q17+Dec!Q17</f>
        <v>65</v>
      </c>
      <c r="R17" s="85">
        <f>Jan!R17+Feb!R17+Mar!R17+Apr!R17+May!R17+June!R17+July!R17+Aug!R17+Sep!R17+Oct!R17+Nov!R17+Dec!R17</f>
        <v>0</v>
      </c>
      <c r="S17" s="86">
        <f>Jan!S17+Feb!S17+Mar!S17+Apr!S17+May!S17+June!S17+July!S17+Aug!S17+Sep!S17+Oct!S17+Nov!S17+Dec!S17</f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f>Jan!G18+Feb!G18+Mar!G18+Apr!G18+May!G18+June!G18+July!G18+Aug!G18+Sep!G18+Oct!G18+Nov!G18+Dec!G18</f>
        <v>60</v>
      </c>
      <c r="H18" s="83">
        <f>Jan!H18+Feb!H18+Mar!H18+Apr!H18+May!H18+June!H18+July!H18+Aug!H18+Sep!H18+Oct!H18+Nov!H18+Dec!H18</f>
        <v>0</v>
      </c>
      <c r="I18" s="84">
        <f>Jan!I18+Feb!I18+Mar!I18+Apr!I18+May!I18+June!I18+July!I18+Aug!I18+Sep!I18+Oct!I18+Nov!I18+Dec!I18</f>
        <v>0</v>
      </c>
      <c r="J18" s="85">
        <f>Jan!J18+Feb!J18+Mar!J18+Apr!J18+May!J18+June!J18+July!J18+Aug!J18+Sep!J18+Oct!J18+Nov!J18+Dec!J18</f>
        <v>0</v>
      </c>
      <c r="K18" s="85">
        <f>Jan!K18+Feb!K18+Mar!K18+Apr!K18+May!K18+June!K18+July!K18+Aug!K18+Sep!K18+Oct!K18+Nov!K18+Dec!K18</f>
        <v>0</v>
      </c>
      <c r="L18" s="85">
        <f>Jan!L18+Feb!L18+Mar!L18+Apr!L18+May!L18+June!L18+July!L18+Aug!L18+Sep!L18+Oct!L18+Nov!L18+Dec!L18</f>
        <v>53</v>
      </c>
      <c r="M18" s="85">
        <f>Jan!M18+Feb!M18+Mar!M18+Apr!M18+May!M18+June!M18+July!M18+Aug!M18+Sep!M18+Oct!M18+Nov!M18+Dec!M18</f>
        <v>0</v>
      </c>
      <c r="N18" s="85">
        <f>Jan!N18+Feb!N18+Mar!N18+Apr!N18+May!N18+June!N18+July!N18+Aug!N18+Sep!N18+Oct!N18+Nov!N18+Dec!N18</f>
        <v>7</v>
      </c>
      <c r="O18" s="85">
        <f>Jan!O18+Feb!O18+Mar!O18+Apr!O18+May!O18+June!O18+July!O18+Aug!O18+Sep!O18+Oct!O18+Nov!O18+Dec!O18</f>
        <v>0</v>
      </c>
      <c r="P18" s="85">
        <f>Jan!P18+Feb!P18+Mar!P18+Apr!P18+May!P18+June!P18+July!P18+Aug!P18+Sep!P18+Oct!P18+Nov!P18+Dec!P18</f>
        <v>0</v>
      </c>
      <c r="Q18" s="85">
        <f>Jan!Q18+Feb!Q18+Mar!Q18+Apr!Q18+May!Q18+June!Q18+July!Q18+Aug!Q18+Sep!Q18+Oct!Q18+Nov!Q18+Dec!Q18</f>
        <v>0</v>
      </c>
      <c r="R18" s="85">
        <f>Jan!R18+Feb!R18+Mar!R18+Apr!R18+May!R18+June!R18+July!R18+Aug!R18+Sep!R18+Oct!R18+Nov!R18+Dec!R18</f>
        <v>0</v>
      </c>
      <c r="S18" s="86">
        <f>Jan!S18+Feb!S18+Mar!S18+Apr!S18+May!S18+June!S18+July!S18+Aug!S18+Sep!S18+Oct!S18+Nov!S18+Dec!S18</f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f>Jan!G19+Feb!G19+Mar!G19+Apr!G19+May!G19+June!G19+July!G19+Aug!G19+Sep!G19+Oct!G19+Nov!G19+Dec!G19</f>
        <v>96112</v>
      </c>
      <c r="H19" s="83">
        <f>Jan!H19+Feb!H19+Mar!H19+Apr!H19+May!H19+June!H19+July!H19+Aug!H19+Sep!H19+Oct!H19+Nov!H19+Dec!H19</f>
        <v>13305</v>
      </c>
      <c r="I19" s="84">
        <f>Jan!I19+Feb!I19+Mar!I19+Apr!I19+May!I19+June!I19+July!I19+Aug!I19+Sep!I19+Oct!I19+Nov!I19+Dec!I19</f>
        <v>25002</v>
      </c>
      <c r="J19" s="85">
        <f>Jan!J19+Feb!J19+Mar!J19+Apr!J19+May!J19+June!J19+July!J19+Aug!J19+Sep!J19+Oct!J19+Nov!J19+Dec!J19</f>
        <v>6701</v>
      </c>
      <c r="K19" s="85">
        <f>Jan!K19+Feb!K19+Mar!K19+Apr!K19+May!K19+June!K19+July!K19+Aug!K19+Sep!K19+Oct!K19+Nov!K19+Dec!K19</f>
        <v>888</v>
      </c>
      <c r="L19" s="85">
        <f>Jan!L19+Feb!L19+Mar!L19+Apr!L19+May!L19+June!L19+July!L19+Aug!L19+Sep!L19+Oct!L19+Nov!L19+Dec!L19</f>
        <v>38974</v>
      </c>
      <c r="M19" s="85">
        <f>Jan!M19+Feb!M19+Mar!M19+Apr!M19+May!M19+June!M19+July!M19+Aug!M19+Sep!M19+Oct!M19+Nov!M19+Dec!M19</f>
        <v>55</v>
      </c>
      <c r="N19" s="85">
        <f>Jan!N19+Feb!N19+Mar!N19+Apr!N19+May!N19+June!N19+July!N19+Aug!N19+Sep!N19+Oct!N19+Nov!N19+Dec!N19</f>
        <v>3086</v>
      </c>
      <c r="O19" s="85">
        <f>Jan!O19+Feb!O19+Mar!O19+Apr!O19+May!O19+June!O19+July!O19+Aug!O19+Sep!O19+Oct!O19+Nov!O19+Dec!O19</f>
        <v>6042</v>
      </c>
      <c r="P19" s="85">
        <f>Jan!P19+Feb!P19+Mar!P19+Apr!P19+May!P19+June!P19+July!P19+Aug!P19+Sep!P19+Oct!P19+Nov!P19+Dec!P19</f>
        <v>697</v>
      </c>
      <c r="Q19" s="85">
        <f>Jan!Q19+Feb!Q19+Mar!Q19+Apr!Q19+May!Q19+June!Q19+July!Q19+Aug!Q19+Sep!Q19+Oct!Q19+Nov!Q19+Dec!Q19</f>
        <v>1362</v>
      </c>
      <c r="R19" s="85">
        <f>Jan!R19+Feb!R19+Mar!R19+Apr!R19+May!R19+June!R19+July!R19+Aug!R19+Sep!R19+Oct!R19+Nov!R19+Dec!R19</f>
        <v>0</v>
      </c>
      <c r="S19" s="86">
        <f>Jan!S19+Feb!S19+Mar!S19+Apr!S19+May!S19+June!S19+July!S19+Aug!S19+Sep!S19+Oct!S19+Nov!S19+Dec!S19</f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f>Jan!G20+Feb!G20+Mar!G20+Apr!G20+May!G20+June!G20+July!G20+Aug!G20+Sep!G20+Oct!G20+Nov!G20+Dec!G20</f>
        <v>17640</v>
      </c>
      <c r="H20" s="83">
        <f>Jan!H20+Feb!H20+Mar!H20+Apr!H20+May!H20+June!H20+July!H20+Aug!H20+Sep!H20+Oct!H20+Nov!H20+Dec!H20</f>
        <v>294</v>
      </c>
      <c r="I20" s="84">
        <f>Jan!I20+Feb!I20+Mar!I20+Apr!I20+May!I20+June!I20+July!I20+Aug!I20+Sep!I20+Oct!I20+Nov!I20+Dec!I20</f>
        <v>6180</v>
      </c>
      <c r="J20" s="85">
        <f>Jan!J20+Feb!J20+Mar!J20+Apr!J20+May!J20+June!J20+July!J20+Aug!J20+Sep!J20+Oct!J20+Nov!J20+Dec!J20</f>
        <v>3320</v>
      </c>
      <c r="K20" s="85">
        <f>Jan!K20+Feb!K20+Mar!K20+Apr!K20+May!K20+June!K20+July!K20+Aug!K20+Sep!K20+Oct!K20+Nov!K20+Dec!K20</f>
        <v>0</v>
      </c>
      <c r="L20" s="85">
        <f>Jan!L20+Feb!L20+Mar!L20+Apr!L20+May!L20+June!L20+July!L20+Aug!L20+Sep!L20+Oct!L20+Nov!L20+Dec!L20</f>
        <v>7560</v>
      </c>
      <c r="M20" s="85">
        <f>Jan!M20+Feb!M20+Mar!M20+Apr!M20+May!M20+June!M20+July!M20+Aug!M20+Sep!M20+Oct!M20+Nov!M20+Dec!M20</f>
        <v>28</v>
      </c>
      <c r="N20" s="85">
        <f>Jan!N20+Feb!N20+Mar!N20+Apr!N20+May!N20+June!N20+July!N20+Aug!N20+Sep!N20+Oct!N20+Nov!N20+Dec!N20</f>
        <v>78</v>
      </c>
      <c r="O20" s="85">
        <f>Jan!O20+Feb!O20+Mar!O20+Apr!O20+May!O20+June!O20+July!O20+Aug!O20+Sep!O20+Oct!O20+Nov!O20+Dec!O20</f>
        <v>4</v>
      </c>
      <c r="P20" s="85">
        <f>Jan!P20+Feb!P20+Mar!P20+Apr!P20+May!P20+June!P20+July!P20+Aug!P20+Sep!P20+Oct!P20+Nov!P20+Dec!P20</f>
        <v>17</v>
      </c>
      <c r="Q20" s="85">
        <f>Jan!Q20+Feb!Q20+Mar!Q20+Apr!Q20+May!Q20+June!Q20+July!Q20+Aug!Q20+Sep!Q20+Oct!Q20+Nov!Q20+Dec!Q20</f>
        <v>159</v>
      </c>
      <c r="R20" s="85">
        <f>Jan!R20+Feb!R20+Mar!R20+Apr!R20+May!R20+June!R20+July!R20+Aug!R20+Sep!R20+Oct!R20+Nov!R20+Dec!R20</f>
        <v>0</v>
      </c>
      <c r="S20" s="86">
        <f>Jan!S20+Feb!S20+Mar!S20+Apr!S20+May!S20+June!S20+July!S20+Aug!S20+Sep!S20+Oct!S20+Nov!S20+Dec!S20</f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f>Jan!G21+Feb!G21+Mar!G21+Apr!G21+May!G21+June!G21+July!G21+Aug!G21+Sep!G21+Oct!G21+Nov!G21+Dec!G21</f>
        <v>10</v>
      </c>
      <c r="H21" s="83">
        <f>Jan!H21+Feb!H21+Mar!H21+Apr!H21+May!H21+June!H21+July!H21+Aug!H21+Sep!H21+Oct!H21+Nov!H21+Dec!H21</f>
        <v>0</v>
      </c>
      <c r="I21" s="84">
        <f>Jan!I21+Feb!I21+Mar!I21+Apr!I21+May!I21+June!I21+July!I21+Aug!I21+Sep!I21+Oct!I21+Nov!I21+Dec!I21</f>
        <v>0</v>
      </c>
      <c r="J21" s="85">
        <f>Jan!J21+Feb!J21+Mar!J21+Apr!J21+May!J21+June!J21+July!J21+Aug!J21+Sep!J21+Oct!J21+Nov!J21+Dec!J21</f>
        <v>0</v>
      </c>
      <c r="K21" s="85">
        <f>Jan!K21+Feb!K21+Mar!K21+Apr!K21+May!K21+June!K21+July!K21+Aug!K21+Sep!K21+Oct!K21+Nov!K21+Dec!K21</f>
        <v>0</v>
      </c>
      <c r="L21" s="85">
        <f>Jan!L21+Feb!L21+Mar!L21+Apr!L21+May!L21+June!L21+July!L21+Aug!L21+Sep!L21+Oct!L21+Nov!L21+Dec!L21</f>
        <v>0</v>
      </c>
      <c r="M21" s="85">
        <f>Jan!M21+Feb!M21+Mar!M21+Apr!M21+May!M21+June!M21+July!M21+Aug!M21+Sep!M21+Oct!M21+Nov!M21+Dec!M21</f>
        <v>0</v>
      </c>
      <c r="N21" s="85">
        <f>Jan!N21+Feb!N21+Mar!N21+Apr!N21+May!N21+June!N21+July!N21+Aug!N21+Sep!N21+Oct!N21+Nov!N21+Dec!N21</f>
        <v>0</v>
      </c>
      <c r="O21" s="85">
        <f>Jan!O21+Feb!O21+Mar!O21+Apr!O21+May!O21+June!O21+July!O21+Aug!O21+Sep!O21+Oct!O21+Nov!O21+Dec!O21</f>
        <v>0</v>
      </c>
      <c r="P21" s="85">
        <f>Jan!P21+Feb!P21+Mar!P21+Apr!P21+May!P21+June!P21+July!P21+Aug!P21+Sep!P21+Oct!P21+Nov!P21+Dec!P21</f>
        <v>2</v>
      </c>
      <c r="Q21" s="85">
        <f>Jan!Q21+Feb!Q21+Mar!Q21+Apr!Q21+May!Q21+June!Q21+July!Q21+Aug!Q21+Sep!Q21+Oct!Q21+Nov!Q21+Dec!Q21</f>
        <v>8</v>
      </c>
      <c r="R21" s="85">
        <f>Jan!R21+Feb!R21+Mar!R21+Apr!R21+May!R21+June!R21+July!R21+Aug!R21+Sep!R21+Oct!R21+Nov!R21+Dec!R21</f>
        <v>0</v>
      </c>
      <c r="S21" s="86">
        <f>Jan!S21+Feb!S21+Mar!S21+Apr!S21+May!S21+June!S21+July!S21+Aug!S21+Sep!S21+Oct!S21+Nov!S21+Dec!S21</f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f>Jan!G22+Feb!G22+Mar!G22+Apr!G22+May!G22+June!G22+July!G22+Aug!G22+Sep!G22+Oct!G22+Nov!G22+Dec!G22</f>
        <v>2</v>
      </c>
      <c r="H22" s="83">
        <f>Jan!H22+Feb!H22+Mar!H22+Apr!H22+May!H22+June!H22+July!H22+Aug!H22+Sep!H22+Oct!H22+Nov!H22+Dec!H22</f>
        <v>1</v>
      </c>
      <c r="I22" s="84">
        <f>Jan!I22+Feb!I22+Mar!I22+Apr!I22+May!I22+June!I22+July!I22+Aug!I22+Sep!I22+Oct!I22+Nov!I22+Dec!I22</f>
        <v>0</v>
      </c>
      <c r="J22" s="85">
        <f>Jan!J22+Feb!J22+Mar!J22+Apr!J22+May!J22+June!J22+July!J22+Aug!J22+Sep!J22+Oct!J22+Nov!J22+Dec!J22</f>
        <v>0</v>
      </c>
      <c r="K22" s="85">
        <f>Jan!K22+Feb!K22+Mar!K22+Apr!K22+May!K22+June!K22+July!K22+Aug!K22+Sep!K22+Oct!K22+Nov!K22+Dec!K22</f>
        <v>0</v>
      </c>
      <c r="L22" s="85">
        <f>Jan!L22+Feb!L22+Mar!L22+Apr!L22+May!L22+June!L22+July!L22+Aug!L22+Sep!L22+Oct!L22+Nov!L22+Dec!L22</f>
        <v>0</v>
      </c>
      <c r="M22" s="85">
        <f>Jan!M22+Feb!M22+Mar!M22+Apr!M22+May!M22+June!M22+July!M22+Aug!M22+Sep!M22+Oct!M22+Nov!M22+Dec!M22</f>
        <v>0</v>
      </c>
      <c r="N22" s="85">
        <f>Jan!N22+Feb!N22+Mar!N22+Apr!N22+May!N22+June!N22+July!N22+Aug!N22+Sep!N22+Oct!N22+Nov!N22+Dec!N22</f>
        <v>0</v>
      </c>
      <c r="O22" s="85">
        <f>Jan!O22+Feb!O22+Mar!O22+Apr!O22+May!O22+June!O22+July!O22+Aug!O22+Sep!O22+Oct!O22+Nov!O22+Dec!O22</f>
        <v>0</v>
      </c>
      <c r="P22" s="85">
        <f>Jan!P22+Feb!P22+Mar!P22+Apr!P22+May!P22+June!P22+July!P22+Aug!P22+Sep!P22+Oct!P22+Nov!P22+Dec!P22</f>
        <v>0</v>
      </c>
      <c r="Q22" s="85">
        <f>Jan!Q22+Feb!Q22+Mar!Q22+Apr!Q22+May!Q22+June!Q22+July!Q22+Aug!Q22+Sep!Q22+Oct!Q22+Nov!Q22+Dec!Q22</f>
        <v>1</v>
      </c>
      <c r="R22" s="85">
        <f>Jan!R22+Feb!R22+Mar!R22+Apr!R22+May!R22+June!R22+July!R22+Aug!R22+Sep!R22+Oct!R22+Nov!R22+Dec!R22</f>
        <v>0</v>
      </c>
      <c r="S22" s="86">
        <f>Jan!S22+Feb!S22+Mar!S22+Apr!S22+May!S22+June!S22+July!S22+Aug!S22+Sep!S22+Oct!S22+Nov!S22+Dec!S22</f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f>Jan!G23+Feb!G23+Mar!G23+Apr!G23+May!G23+June!G23+July!G23+Aug!G23+Sep!G23+Oct!G23+Nov!G23+Dec!G23</f>
        <v>97649</v>
      </c>
      <c r="H23" s="83">
        <f>Jan!H23+Feb!H23+Mar!H23+Apr!H23+May!H23+June!H23+July!H23+Aug!H23+Sep!H23+Oct!H23+Nov!H23+Dec!H23</f>
        <v>21212</v>
      </c>
      <c r="I23" s="84">
        <f>Jan!I23+Feb!I23+Mar!I23+Apr!I23+May!I23+June!I23+July!I23+Aug!I23+Sep!I23+Oct!I23+Nov!I23+Dec!I23</f>
        <v>0</v>
      </c>
      <c r="J23" s="85">
        <f>Jan!J23+Feb!J23+Mar!J23+Apr!J23+May!J23+June!J23+July!J23+Aug!J23+Sep!J23+Oct!J23+Nov!J23+Dec!J23</f>
        <v>0</v>
      </c>
      <c r="K23" s="85">
        <f>Jan!K23+Feb!K23+Mar!K23+Apr!K23+May!K23+June!K23+July!K23+Aug!K23+Sep!K23+Oct!K23+Nov!K23+Dec!K23</f>
        <v>0</v>
      </c>
      <c r="L23" s="85">
        <f>Jan!L23+Feb!L23+Mar!L23+Apr!L23+May!L23+June!L23+July!L23+Aug!L23+Sep!L23+Oct!L23+Nov!L23+Dec!L23</f>
        <v>65202</v>
      </c>
      <c r="M23" s="85">
        <f>Jan!M23+Feb!M23+Mar!M23+Apr!M23+May!M23+June!M23+July!M23+Aug!M23+Sep!M23+Oct!M23+Nov!M23+Dec!M23</f>
        <v>7488</v>
      </c>
      <c r="N23" s="85">
        <f>Jan!N23+Feb!N23+Mar!N23+Apr!N23+May!N23+June!N23+July!N23+Aug!N23+Sep!N23+Oct!N23+Nov!N23+Dec!N23</f>
        <v>364</v>
      </c>
      <c r="O23" s="85">
        <f>Jan!O23+Feb!O23+Mar!O23+Apr!O23+May!O23+June!O23+July!O23+Aug!O23+Sep!O23+Oct!O23+Nov!O23+Dec!O23</f>
        <v>257</v>
      </c>
      <c r="P23" s="85">
        <f>Jan!P23+Feb!P23+Mar!P23+Apr!P23+May!P23+June!P23+July!P23+Aug!P23+Sep!P23+Oct!P23+Nov!P23+Dec!P23</f>
        <v>170</v>
      </c>
      <c r="Q23" s="85">
        <f>Jan!Q23+Feb!Q23+Mar!Q23+Apr!Q23+May!Q23+June!Q23+July!Q23+Aug!Q23+Sep!Q23+Oct!Q23+Nov!Q23+Dec!Q23</f>
        <v>2956</v>
      </c>
      <c r="R23" s="85">
        <f>Jan!R23+Feb!R23+Mar!R23+Apr!R23+May!R23+June!R23+July!R23+Aug!R23+Sep!R23+Oct!R23+Nov!R23+Dec!R23</f>
        <v>0</v>
      </c>
      <c r="S23" s="86">
        <f>Jan!S23+Feb!S23+Mar!S23+Apr!S23+May!S23+June!S23+July!S23+Aug!S23+Sep!S23+Oct!S23+Nov!S23+Dec!S23</f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f>Jan!G24+Feb!G24+Mar!G24+Apr!G24+May!G24+June!G24+July!G24+Aug!G24+Sep!G24+Oct!G24+Nov!G24+Dec!G24</f>
        <v>8808</v>
      </c>
      <c r="H24" s="83">
        <f>Jan!H24+Feb!H24+Mar!H24+Apr!H24+May!H24+June!H24+July!H24+Aug!H24+Sep!H24+Oct!H24+Nov!H24+Dec!H24</f>
        <v>8110</v>
      </c>
      <c r="I24" s="84">
        <f>Jan!I24+Feb!I24+Mar!I24+Apr!I24+May!I24+June!I24+July!I24+Aug!I24+Sep!I24+Oct!I24+Nov!I24+Dec!I24</f>
        <v>0</v>
      </c>
      <c r="J24" s="85">
        <f>Jan!J24+Feb!J24+Mar!J24+Apr!J24+May!J24+June!J24+July!J24+Aug!J24+Sep!J24+Oct!J24+Nov!J24+Dec!J24</f>
        <v>0</v>
      </c>
      <c r="K24" s="85">
        <f>Jan!K24+Feb!K24+Mar!K24+Apr!K24+May!K24+June!K24+July!K24+Aug!K24+Sep!K24+Oct!K24+Nov!K24+Dec!K24</f>
        <v>0</v>
      </c>
      <c r="L24" s="85">
        <f>Jan!L24+Feb!L24+Mar!L24+Apr!L24+May!L24+June!L24+July!L24+Aug!L24+Sep!L24+Oct!L24+Nov!L24+Dec!L24</f>
        <v>681</v>
      </c>
      <c r="M24" s="85">
        <f>Jan!M24+Feb!M24+Mar!M24+Apr!M24+May!M24+June!M24+July!M24+Aug!M24+Sep!M24+Oct!M24+Nov!M24+Dec!M24</f>
        <v>0</v>
      </c>
      <c r="N24" s="85">
        <f>Jan!N24+Feb!N24+Mar!N24+Apr!N24+May!N24+June!N24+July!N24+Aug!N24+Sep!N24+Oct!N24+Nov!N24+Dec!N24</f>
        <v>0</v>
      </c>
      <c r="O24" s="85">
        <f>Jan!O24+Feb!O24+Mar!O24+Apr!O24+May!O24+June!O24+July!O24+Aug!O24+Sep!O24+Oct!O24+Nov!O24+Dec!O24</f>
        <v>0</v>
      </c>
      <c r="P24" s="85">
        <f>Jan!P24+Feb!P24+Mar!P24+Apr!P24+May!P24+June!P24+July!P24+Aug!P24+Sep!P24+Oct!P24+Nov!P24+Dec!P24</f>
        <v>0</v>
      </c>
      <c r="Q24" s="85">
        <f>Jan!Q24+Feb!Q24+Mar!Q24+Apr!Q24+May!Q24+June!Q24+July!Q24+Aug!Q24+Sep!Q24+Oct!Q24+Nov!Q24+Dec!Q24</f>
        <v>17</v>
      </c>
      <c r="R24" s="85">
        <f>Jan!R24+Feb!R24+Mar!R24+Apr!R24+May!R24+June!R24+July!R24+Aug!R24+Sep!R24+Oct!R24+Nov!R24+Dec!R24</f>
        <v>0</v>
      </c>
      <c r="S24" s="86">
        <f>Jan!S24+Feb!S24+Mar!S24+Apr!S24+May!S24+June!S24+July!S24+Aug!S24+Sep!S24+Oct!S24+Nov!S24+Dec!S24</f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f>Jan!G25+Feb!G25+Mar!G25+Apr!G25+May!G25+June!G25+July!G25+Aug!G25+Sep!G25+Oct!G25+Nov!G25+Dec!G25</f>
        <v>3313</v>
      </c>
      <c r="H25" s="83">
        <f>Jan!H25+Feb!H25+Mar!H25+Apr!H25+May!H25+June!H25+July!H25+Aug!H25+Sep!H25+Oct!H25+Nov!H25+Dec!H25</f>
        <v>2193</v>
      </c>
      <c r="I25" s="84">
        <f>Jan!I25+Feb!I25+Mar!I25+Apr!I25+May!I25+June!I25+July!I25+Aug!I25+Sep!I25+Oct!I25+Nov!I25+Dec!I25</f>
        <v>0</v>
      </c>
      <c r="J25" s="85">
        <f>Jan!J25+Feb!J25+Mar!J25+Apr!J25+May!J25+June!J25+July!J25+Aug!J25+Sep!J25+Oct!J25+Nov!J25+Dec!J25</f>
        <v>0</v>
      </c>
      <c r="K25" s="85">
        <f>Jan!K25+Feb!K25+Mar!K25+Apr!K25+May!K25+June!K25+July!K25+Aug!K25+Sep!K25+Oct!K25+Nov!K25+Dec!K25</f>
        <v>0</v>
      </c>
      <c r="L25" s="85">
        <f>Jan!L25+Feb!L25+Mar!L25+Apr!L25+May!L25+June!L25+July!L25+Aug!L25+Sep!L25+Oct!L25+Nov!L25+Dec!L25</f>
        <v>1120</v>
      </c>
      <c r="M25" s="85">
        <f>Jan!M25+Feb!M25+Mar!M25+Apr!M25+May!M25+June!M25+July!M25+Aug!M25+Sep!M25+Oct!M25+Nov!M25+Dec!M25</f>
        <v>0</v>
      </c>
      <c r="N25" s="85">
        <f>Jan!N25+Feb!N25+Mar!N25+Apr!N25+May!N25+June!N25+July!N25+Aug!N25+Sep!N25+Oct!N25+Nov!N25+Dec!N25</f>
        <v>0</v>
      </c>
      <c r="O25" s="85">
        <f>Jan!O25+Feb!O25+Mar!O25+Apr!O25+May!O25+June!O25+July!O25+Aug!O25+Sep!O25+Oct!O25+Nov!O25+Dec!O25</f>
        <v>0</v>
      </c>
      <c r="P25" s="85">
        <f>Jan!P25+Feb!P25+Mar!P25+Apr!P25+May!P25+June!P25+July!P25+Aug!P25+Sep!P25+Oct!P25+Nov!P25+Dec!P25</f>
        <v>0</v>
      </c>
      <c r="Q25" s="85">
        <f>Jan!Q25+Feb!Q25+Mar!Q25+Apr!Q25+May!Q25+June!Q25+July!Q25+Aug!Q25+Sep!Q25+Oct!Q25+Nov!Q25+Dec!Q25</f>
        <v>0</v>
      </c>
      <c r="R25" s="85">
        <f>Jan!R25+Feb!R25+Mar!R25+Apr!R25+May!R25+June!R25+July!R25+Aug!R25+Sep!R25+Oct!R25+Nov!R25+Dec!R25</f>
        <v>0</v>
      </c>
      <c r="S25" s="86">
        <f>Jan!S25+Feb!S25+Mar!S25+Apr!S25+May!S25+June!S25+July!S25+Aug!S25+Sep!S25+Oct!S25+Nov!S25+Dec!S25</f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f>Jan!G26+Feb!G26+Mar!G26+Apr!G26+May!G26+June!G26+July!G26+Aug!G26+Sep!G26+Oct!G26+Nov!G26+Dec!G26</f>
        <v>33488</v>
      </c>
      <c r="H26" s="83">
        <f>Jan!H26+Feb!H26+Mar!H26+Apr!H26+May!H26+June!H26+July!H26+Aug!H26+Sep!H26+Oct!H26+Nov!H26+Dec!H26</f>
        <v>9368</v>
      </c>
      <c r="I26" s="84">
        <f>Jan!I26+Feb!I26+Mar!I26+Apr!I26+May!I26+June!I26+July!I26+Aug!I26+Sep!I26+Oct!I26+Nov!I26+Dec!I26</f>
        <v>4282</v>
      </c>
      <c r="J26" s="85">
        <f>Jan!J26+Feb!J26+Mar!J26+Apr!J26+May!J26+June!J26+July!J26+Aug!J26+Sep!J26+Oct!J26+Nov!J26+Dec!J26</f>
        <v>382</v>
      </c>
      <c r="K26" s="85">
        <f>Jan!K26+Feb!K26+Mar!K26+Apr!K26+May!K26+June!K26+July!K26+Aug!K26+Sep!K26+Oct!K26+Nov!K26+Dec!K26</f>
        <v>102</v>
      </c>
      <c r="L26" s="85">
        <f>Jan!L26+Feb!L26+Mar!L26+Apr!L26+May!L26+June!L26+July!L26+Aug!L26+Sep!L26+Oct!L26+Nov!L26+Dec!L26</f>
        <v>16218</v>
      </c>
      <c r="M26" s="85">
        <f>Jan!M26+Feb!M26+Mar!M26+Apr!M26+May!M26+June!M26+July!M26+Aug!M26+Sep!M26+Oct!M26+Nov!M26+Dec!M26</f>
        <v>1727</v>
      </c>
      <c r="N26" s="85">
        <f>Jan!N26+Feb!N26+Mar!N26+Apr!N26+May!N26+June!N26+July!N26+Aug!N26+Sep!N26+Oct!N26+Nov!N26+Dec!N26</f>
        <v>44</v>
      </c>
      <c r="O26" s="85">
        <f>Jan!O26+Feb!O26+Mar!O26+Apr!O26+May!O26+June!O26+July!O26+Aug!O26+Sep!O26+Oct!O26+Nov!O26+Dec!O26</f>
        <v>123</v>
      </c>
      <c r="P26" s="85">
        <f>Jan!P26+Feb!P26+Mar!P26+Apr!P26+May!P26+June!P26+July!P26+Aug!P26+Sep!P26+Oct!P26+Nov!P26+Dec!P26</f>
        <v>114</v>
      </c>
      <c r="Q26" s="85">
        <f>Jan!Q26+Feb!Q26+Mar!Q26+Apr!Q26+May!Q26+June!Q26+July!Q26+Aug!Q26+Sep!Q26+Oct!Q26+Nov!Q26+Dec!Q26</f>
        <v>635</v>
      </c>
      <c r="R26" s="85">
        <f>Jan!R26+Feb!R26+Mar!R26+Apr!R26+May!R26+June!R26+July!R26+Aug!R26+Sep!R26+Oct!R26+Nov!R26+Dec!R26</f>
        <v>470</v>
      </c>
      <c r="S26" s="86">
        <f>Jan!S26+Feb!S26+Mar!S26+Apr!S26+May!S26+June!S26+July!S26+Aug!S26+Sep!S26+Oct!S26+Nov!S26+Dec!S26</f>
        <v>23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f>Jan!G27+Feb!G27+Mar!G27+Apr!G27+May!G27+June!G27+July!G27+Aug!G27+Sep!G27+Oct!G27+Nov!G27+Dec!G27</f>
        <v>18009</v>
      </c>
      <c r="H27" s="83">
        <f>Jan!H27+Feb!H27+Mar!H27+Apr!H27+May!H27+June!H27+July!H27+Aug!H27+Sep!H27+Oct!H27+Nov!H27+Dec!H27</f>
        <v>1594</v>
      </c>
      <c r="I27" s="84">
        <f>Jan!I27+Feb!I27+Mar!I27+Apr!I27+May!I27+June!I27+July!I27+Aug!I27+Sep!I27+Oct!I27+Nov!I27+Dec!I27</f>
        <v>1803</v>
      </c>
      <c r="J27" s="85">
        <f>Jan!J27+Feb!J27+Mar!J27+Apr!J27+May!J27+June!J27+July!J27+Aug!J27+Sep!J27+Oct!J27+Nov!J27+Dec!J27</f>
        <v>4121</v>
      </c>
      <c r="K27" s="85">
        <f>Jan!K27+Feb!K27+Mar!K27+Apr!K27+May!K27+June!K27+July!K27+Aug!K27+Sep!K27+Oct!K27+Nov!K27+Dec!K27</f>
        <v>0</v>
      </c>
      <c r="L27" s="85">
        <f>Jan!L27+Feb!L27+Mar!L27+Apr!L27+May!L27+June!L27+July!L27+Aug!L27+Sep!L27+Oct!L27+Nov!L27+Dec!L27</f>
        <v>9648</v>
      </c>
      <c r="M27" s="85">
        <f>Jan!M27+Feb!M27+Mar!M27+Apr!M27+May!M27+June!M27+July!M27+Aug!M27+Sep!M27+Oct!M27+Nov!M27+Dec!M27</f>
        <v>153</v>
      </c>
      <c r="N27" s="85">
        <f>Jan!N27+Feb!N27+Mar!N27+Apr!N27+May!N27+June!N27+July!N27+Aug!N27+Sep!N27+Oct!N27+Nov!N27+Dec!N27</f>
        <v>71</v>
      </c>
      <c r="O27" s="85">
        <f>Jan!O27+Feb!O27+Mar!O27+Apr!O27+May!O27+June!O27+July!O27+Aug!O27+Sep!O27+Oct!O27+Nov!O27+Dec!O27</f>
        <v>95</v>
      </c>
      <c r="P27" s="85">
        <f>Jan!P27+Feb!P27+Mar!P27+Apr!P27+May!P27+June!P27+July!P27+Aug!P27+Sep!P27+Oct!P27+Nov!P27+Dec!P27</f>
        <v>42</v>
      </c>
      <c r="Q27" s="85">
        <f>Jan!Q27+Feb!Q27+Mar!Q27+Apr!Q27+May!Q27+June!Q27+July!Q27+Aug!Q27+Sep!Q27+Oct!Q27+Nov!Q27+Dec!Q27</f>
        <v>473</v>
      </c>
      <c r="R27" s="85">
        <f>Jan!R27+Feb!R27+Mar!R27+Apr!R27+May!R27+June!R27+July!R27+Aug!R27+Sep!R27+Oct!R27+Nov!R27+Dec!R27</f>
        <v>9</v>
      </c>
      <c r="S27" s="86">
        <f>Jan!S27+Feb!S27+Mar!S27+Apr!S27+May!S27+June!S27+July!S27+Aug!S27+Sep!S27+Oct!S27+Nov!S27+Dec!S27</f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f>Jan!G28+Feb!G28+Mar!G28+Apr!G28+May!G28+June!G28+July!G28+Aug!G28+Sep!G28+Oct!G28+Nov!G28+Dec!G28</f>
        <v>214990</v>
      </c>
      <c r="H28" s="83">
        <f>Jan!H28+Feb!H28+Mar!H28+Apr!H28+May!H28+June!H28+July!H28+Aug!H28+Sep!H28+Oct!H28+Nov!H28+Dec!H28</f>
        <v>74517</v>
      </c>
      <c r="I28" s="84">
        <f>Jan!I28+Feb!I28+Mar!I28+Apr!I28+May!I28+June!I28+July!I28+Aug!I28+Sep!I28+Oct!I28+Nov!I28+Dec!I28</f>
        <v>71512</v>
      </c>
      <c r="J28" s="85">
        <f>Jan!J28+Feb!J28+Mar!J28+Apr!J28+May!J28+June!J28+July!J28+Aug!J28+Sep!J28+Oct!J28+Nov!J28+Dec!J28</f>
        <v>23906</v>
      </c>
      <c r="K28" s="85">
        <f>Jan!K28+Feb!K28+Mar!K28+Apr!K28+May!K28+June!K28+July!K28+Aug!K28+Sep!K28+Oct!K28+Nov!K28+Dec!K28</f>
        <v>7133</v>
      </c>
      <c r="L28" s="85">
        <f>Jan!L28+Feb!L28+Mar!L28+Apr!L28+May!L28+June!L28+July!L28+Aug!L28+Sep!L28+Oct!L28+Nov!L28+Dec!L28</f>
        <v>0</v>
      </c>
      <c r="M28" s="85">
        <f>Jan!M28+Feb!M28+Mar!M28+Apr!M28+May!M28+June!M28+July!M28+Aug!M28+Sep!M28+Oct!M28+Nov!M28+Dec!M28</f>
        <v>4305</v>
      </c>
      <c r="N28" s="85">
        <f>Jan!N28+Feb!N28+Mar!N28+Apr!N28+May!N28+June!N28+July!N28+Aug!N28+Sep!N28+Oct!N28+Nov!N28+Dec!N28</f>
        <v>7913</v>
      </c>
      <c r="O28" s="85">
        <f>Jan!O28+Feb!O28+Mar!O28+Apr!O28+May!O28+June!O28+July!O28+Aug!O28+Sep!O28+Oct!O28+Nov!O28+Dec!O28</f>
        <v>445</v>
      </c>
      <c r="P28" s="85">
        <f>Jan!P28+Feb!P28+Mar!P28+Apr!P28+May!P28+June!P28+July!P28+Aug!P28+Sep!P28+Oct!P28+Nov!P28+Dec!P28</f>
        <v>0</v>
      </c>
      <c r="Q28" s="85">
        <f>Jan!Q28+Feb!Q28+Mar!Q28+Apr!Q28+May!Q28+June!Q28+July!Q28+Aug!Q28+Sep!Q28+Oct!Q28+Nov!Q28+Dec!Q28</f>
        <v>25259</v>
      </c>
      <c r="R28" s="85">
        <f>Jan!R28+Feb!R28+Mar!R28+Apr!R28+May!R28+June!R28+July!R28+Aug!R28+Sep!R28+Oct!R28+Nov!R28+Dec!R28</f>
        <v>0</v>
      </c>
      <c r="S28" s="86">
        <f>Jan!S28+Feb!S28+Mar!S28+Apr!S28+May!S28+June!S28+July!S28+Aug!S28+Sep!S28+Oct!S28+Nov!S28+Dec!S28</f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f>Jan!G29+Feb!G29+Mar!G29+Apr!G29+May!G29+June!G29+July!G29+Aug!G29+Sep!G29+Oct!G29+Nov!G29+Dec!G29</f>
        <v>173172</v>
      </c>
      <c r="H29" s="83">
        <f>Jan!H29+Feb!H29+Mar!H29+Apr!H29+May!H29+June!H29+July!H29+Aug!H29+Sep!H29+Oct!H29+Nov!H29+Dec!H29</f>
        <v>100002</v>
      </c>
      <c r="I29" s="84">
        <f>Jan!I29+Feb!I29+Mar!I29+Apr!I29+May!I29+June!I29+July!I29+Aug!I29+Sep!I29+Oct!I29+Nov!I29+Dec!I29</f>
        <v>20488</v>
      </c>
      <c r="J29" s="85">
        <f>Jan!J29+Feb!J29+Mar!J29+Apr!J29+May!J29+June!J29+July!J29+Aug!J29+Sep!J29+Oct!J29+Nov!J29+Dec!J29</f>
        <v>4431</v>
      </c>
      <c r="K29" s="85">
        <f>Jan!K29+Feb!K29+Mar!K29+Apr!K29+May!K29+June!K29+July!K29+Aug!K29+Sep!K29+Oct!K29+Nov!K29+Dec!K29</f>
        <v>0</v>
      </c>
      <c r="L29" s="85">
        <f>Jan!L29+Feb!L29+Mar!L29+Apr!L29+May!L29+June!L29+July!L29+Aug!L29+Sep!L29+Oct!L29+Nov!L29+Dec!L29</f>
        <v>11985</v>
      </c>
      <c r="M29" s="85">
        <f>Jan!M29+Feb!M29+Mar!M29+Apr!M29+May!M29+June!M29+July!M29+Aug!M29+Sep!M29+Oct!M29+Nov!M29+Dec!M29</f>
        <v>3726</v>
      </c>
      <c r="N29" s="85">
        <f>Jan!N29+Feb!N29+Mar!N29+Apr!N29+May!N29+June!N29+July!N29+Aug!N29+Sep!N29+Oct!N29+Nov!N29+Dec!N29</f>
        <v>2107</v>
      </c>
      <c r="O29" s="85">
        <f>Jan!O29+Feb!O29+Mar!O29+Apr!O29+May!O29+June!O29+July!O29+Aug!O29+Sep!O29+Oct!O29+Nov!O29+Dec!O29</f>
        <v>18146</v>
      </c>
      <c r="P29" s="85">
        <f>Jan!P29+Feb!P29+Mar!P29+Apr!P29+May!P29+June!P29+July!P29+Aug!P29+Sep!P29+Oct!P29+Nov!P29+Dec!P29</f>
        <v>844</v>
      </c>
      <c r="Q29" s="85">
        <f>Jan!Q29+Feb!Q29+Mar!Q29+Apr!Q29+May!Q29+June!Q29+July!Q29+Aug!Q29+Sep!Q29+Oct!Q29+Nov!Q29+Dec!Q29</f>
        <v>11443</v>
      </c>
      <c r="R29" s="85">
        <f>Jan!R29+Feb!R29+Mar!R29+Apr!R29+May!R29+June!R29+July!R29+Aug!R29+Sep!R29+Oct!R29+Nov!R29+Dec!R29</f>
        <v>0</v>
      </c>
      <c r="S29" s="86">
        <f>Jan!S29+Feb!S29+Mar!S29+Apr!S29+May!S29+June!S29+July!S29+Aug!S29+Sep!S29+Oct!S29+Nov!S29+Dec!S29</f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f>Jan!G30+Feb!G30+Mar!G30+Apr!G30+May!G30+June!G30+July!G30+Aug!G30+Sep!G30+Oct!G30+Nov!G30+Dec!G30</f>
        <v>77</v>
      </c>
      <c r="H30" s="83">
        <f>Jan!H30+Feb!H30+Mar!H30+Apr!H30+May!H30+June!H30+July!H30+Aug!H30+Sep!H30+Oct!H30+Nov!H30+Dec!H30</f>
        <v>0</v>
      </c>
      <c r="I30" s="84">
        <f>Jan!I30+Feb!I30+Mar!I30+Apr!I30+May!I30+June!I30+July!I30+Aug!I30+Sep!I30+Oct!I30+Nov!I30+Dec!I30</f>
        <v>0</v>
      </c>
      <c r="J30" s="85">
        <f>Jan!J30+Feb!J30+Mar!J30+Apr!J30+May!J30+June!J30+July!J30+Aug!J30+Sep!J30+Oct!J30+Nov!J30+Dec!J30</f>
        <v>0</v>
      </c>
      <c r="K30" s="85">
        <f>Jan!K30+Feb!K30+Mar!K30+Apr!K30+May!K30+June!K30+July!K30+Aug!K30+Sep!K30+Oct!K30+Nov!K30+Dec!K30</f>
        <v>0</v>
      </c>
      <c r="L30" s="85">
        <f>Jan!L30+Feb!L30+Mar!L30+Apr!L30+May!L30+June!L30+July!L30+Aug!L30+Sep!L30+Oct!L30+Nov!L30+Dec!L30</f>
        <v>0</v>
      </c>
      <c r="M30" s="85">
        <f>Jan!M30+Feb!M30+Mar!M30+Apr!M30+May!M30+June!M30+July!M30+Aug!M30+Sep!M30+Oct!M30+Nov!M30+Dec!M30</f>
        <v>77</v>
      </c>
      <c r="N30" s="85">
        <f>Jan!N30+Feb!N30+Mar!N30+Apr!N30+May!N30+June!N30+July!N30+Aug!N30+Sep!N30+Oct!N30+Nov!N30+Dec!N30</f>
        <v>0</v>
      </c>
      <c r="O30" s="85">
        <f>Jan!O30+Feb!O30+Mar!O30+Apr!O30+May!O30+June!O30+July!O30+Aug!O30+Sep!O30+Oct!O30+Nov!O30+Dec!O30</f>
        <v>0</v>
      </c>
      <c r="P30" s="85">
        <f>Jan!P30+Feb!P30+Mar!P30+Apr!P30+May!P30+June!P30+July!P30+Aug!P30+Sep!P30+Oct!P30+Nov!P30+Dec!P30</f>
        <v>0</v>
      </c>
      <c r="Q30" s="85">
        <f>Jan!Q30+Feb!Q30+Mar!Q30+Apr!Q30+May!Q30+June!Q30+July!Q30+Aug!Q30+Sep!Q30+Oct!Q30+Nov!Q30+Dec!Q30</f>
        <v>0</v>
      </c>
      <c r="R30" s="85">
        <f>Jan!R30+Feb!R30+Mar!R30+Apr!R30+May!R30+June!R30+July!R30+Aug!R30+Sep!R30+Oct!R30+Nov!R30+Dec!R30</f>
        <v>0</v>
      </c>
      <c r="S30" s="86">
        <f>Jan!S30+Feb!S30+Mar!S30+Apr!S30+May!S30+June!S30+July!S30+Aug!S30+Sep!S30+Oct!S30+Nov!S30+Dec!S30</f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f>Jan!G31+Feb!G31+Mar!G31+Apr!G31+May!G31+June!G31+July!G31+Aug!G31+Sep!G31+Oct!G31+Nov!G31+Dec!G31</f>
        <v>177905</v>
      </c>
      <c r="H31" s="83">
        <f>Jan!H31+Feb!H31+Mar!H31+Apr!H31+May!H31+June!H31+July!H31+Aug!H31+Sep!H31+Oct!H31+Nov!H31+Dec!H31</f>
        <v>78218</v>
      </c>
      <c r="I31" s="84">
        <f>Jan!I31+Feb!I31+Mar!I31+Apr!I31+May!I31+June!I31+July!I31+Aug!I31+Sep!I31+Oct!I31+Nov!I31+Dec!I31</f>
        <v>71917</v>
      </c>
      <c r="J31" s="85">
        <f>Jan!J31+Feb!J31+Mar!J31+Apr!J31+May!J31+June!J31+July!J31+Aug!J31+Sep!J31+Oct!J31+Nov!J31+Dec!J31</f>
        <v>5645</v>
      </c>
      <c r="K31" s="85">
        <f>Jan!K31+Feb!K31+Mar!K31+Apr!K31+May!K31+June!K31+July!K31+Aug!K31+Sep!K31+Oct!K31+Nov!K31+Dec!K31</f>
        <v>0</v>
      </c>
      <c r="L31" s="85">
        <f>Jan!L31+Feb!L31+Mar!L31+Apr!L31+May!L31+June!L31+July!L31+Aug!L31+Sep!L31+Oct!L31+Nov!L31+Dec!L31</f>
        <v>0</v>
      </c>
      <c r="M31" s="85">
        <f>Jan!M31+Feb!M31+Mar!M31+Apr!M31+May!M31+June!M31+July!M31+Aug!M31+Sep!M31+Oct!M31+Nov!M31+Dec!M31</f>
        <v>244</v>
      </c>
      <c r="N31" s="85">
        <f>Jan!N31+Feb!N31+Mar!N31+Apr!N31+May!N31+June!N31+July!N31+Aug!N31+Sep!N31+Oct!N31+Nov!N31+Dec!N31</f>
        <v>1668</v>
      </c>
      <c r="O31" s="85">
        <f>Jan!O31+Feb!O31+Mar!O31+Apr!O31+May!O31+June!O31+July!O31+Aug!O31+Sep!O31+Oct!O31+Nov!O31+Dec!O31</f>
        <v>4446</v>
      </c>
      <c r="P31" s="85">
        <f>Jan!P31+Feb!P31+Mar!P31+Apr!P31+May!P31+June!P31+July!P31+Aug!P31+Sep!P31+Oct!P31+Nov!P31+Dec!P31</f>
        <v>374</v>
      </c>
      <c r="Q31" s="85">
        <f>Jan!Q31+Feb!Q31+Mar!Q31+Apr!Q31+May!Q31+June!Q31+July!Q31+Aug!Q31+Sep!Q31+Oct!Q31+Nov!Q31+Dec!Q31</f>
        <v>15393</v>
      </c>
      <c r="R31" s="85">
        <f>Jan!R31+Feb!R31+Mar!R31+Apr!R31+May!R31+June!R31+July!R31+Aug!R31+Sep!R31+Oct!R31+Nov!R31+Dec!R31</f>
        <v>0</v>
      </c>
      <c r="S31" s="86">
        <f>Jan!S31+Feb!S31+Mar!S31+Apr!S31+May!S31+June!S31+July!S31+Aug!S31+Sep!S31+Oct!S31+Nov!S31+Dec!S31</f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f>Jan!G32+Feb!G32+Mar!G32+Apr!G32+May!G32+June!G32+July!G32+Aug!G32+Sep!G32+Oct!G32+Nov!G32+Dec!G32</f>
        <v>14279</v>
      </c>
      <c r="H32" s="83">
        <f>Jan!H32+Feb!H32+Mar!H32+Apr!H32+May!H32+June!H32+July!H32+Aug!H32+Sep!H32+Oct!H32+Nov!H32+Dec!H32</f>
        <v>8484</v>
      </c>
      <c r="I32" s="84">
        <f>Jan!I32+Feb!I32+Mar!I32+Apr!I32+May!I32+June!I32+July!I32+Aug!I32+Sep!I32+Oct!I32+Nov!I32+Dec!I32</f>
        <v>0</v>
      </c>
      <c r="J32" s="85">
        <f>Jan!J32+Feb!J32+Mar!J32+Apr!J32+May!J32+June!J32+July!J32+Aug!J32+Sep!J32+Oct!J32+Nov!J32+Dec!J32</f>
        <v>0</v>
      </c>
      <c r="K32" s="85">
        <f>Jan!K32+Feb!K32+Mar!K32+Apr!K32+May!K32+June!K32+July!K32+Aug!K32+Sep!K32+Oct!K32+Nov!K32+Dec!K32</f>
        <v>0</v>
      </c>
      <c r="L32" s="85">
        <f>Jan!L32+Feb!L32+Mar!L32+Apr!L32+May!L32+June!L32+July!L32+Aug!L32+Sep!L32+Oct!L32+Nov!L32+Dec!L32</f>
        <v>0</v>
      </c>
      <c r="M32" s="85">
        <f>Jan!M32+Feb!M32+Mar!M32+Apr!M32+May!M32+June!M32+July!M32+Aug!M32+Sep!M32+Oct!M32+Nov!M32+Dec!M32</f>
        <v>0</v>
      </c>
      <c r="N32" s="85">
        <f>Jan!N32+Feb!N32+Mar!N32+Apr!N32+May!N32+June!N32+July!N32+Aug!N32+Sep!N32+Oct!N32+Nov!N32+Dec!N32</f>
        <v>749</v>
      </c>
      <c r="O32" s="85">
        <f>Jan!O32+Feb!O32+Mar!O32+Apr!O32+May!O32+June!O32+July!O32+Aug!O32+Sep!O32+Oct!O32+Nov!O32+Dec!O32</f>
        <v>429</v>
      </c>
      <c r="P32" s="85">
        <f>Jan!P32+Feb!P32+Mar!P32+Apr!P32+May!P32+June!P32+July!P32+Aug!P32+Sep!P32+Oct!P32+Nov!P32+Dec!P32</f>
        <v>23</v>
      </c>
      <c r="Q32" s="85">
        <f>Jan!Q32+Feb!Q32+Mar!Q32+Apr!Q32+May!Q32+June!Q32+July!Q32+Aug!Q32+Sep!Q32+Oct!Q32+Nov!Q32+Dec!Q32</f>
        <v>4594</v>
      </c>
      <c r="R32" s="85">
        <f>Jan!R32+Feb!R32+Mar!R32+Apr!R32+May!R32+June!R32+July!R32+Aug!R32+Sep!R32+Oct!R32+Nov!R32+Dec!R32</f>
        <v>0</v>
      </c>
      <c r="S32" s="86">
        <f>Jan!S32+Feb!S32+Mar!S32+Apr!S32+May!S32+June!S32+July!S32+Aug!S32+Sep!S32+Oct!S32+Nov!S32+Dec!S32</f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f>Jan!G33+Feb!G33+Mar!G33+Apr!G33+May!G33+June!G33+July!G33+Aug!G33+Sep!G33+Oct!G33+Nov!G33+Dec!G33</f>
        <v>68571</v>
      </c>
      <c r="H33" s="83">
        <f>Jan!H33+Feb!H33+Mar!H33+Apr!H33+May!H33+June!H33+July!H33+Aug!H33+Sep!H33+Oct!H33+Nov!H33+Dec!H33</f>
        <v>31088</v>
      </c>
      <c r="I33" s="84">
        <f>Jan!I33+Feb!I33+Mar!I33+Apr!I33+May!I33+June!I33+July!I33+Aug!I33+Sep!I33+Oct!I33+Nov!I33+Dec!I33</f>
        <v>0</v>
      </c>
      <c r="J33" s="85">
        <f>Jan!J33+Feb!J33+Mar!J33+Apr!J33+May!J33+June!J33+July!J33+Aug!J33+Sep!J33+Oct!J33+Nov!J33+Dec!J33</f>
        <v>0</v>
      </c>
      <c r="K33" s="85">
        <f>Jan!K33+Feb!K33+Mar!K33+Apr!K33+May!K33+June!K33+July!K33+Aug!K33+Sep!K33+Oct!K33+Nov!K33+Dec!K33</f>
        <v>0</v>
      </c>
      <c r="L33" s="85">
        <f>Jan!L33+Feb!L33+Mar!L33+Apr!L33+May!L33+June!L33+July!L33+Aug!L33+Sep!L33+Oct!L33+Nov!L33+Dec!L33</f>
        <v>0</v>
      </c>
      <c r="M33" s="85">
        <f>Jan!M33+Feb!M33+Mar!M33+Apr!M33+May!M33+June!M33+July!M33+Aug!M33+Sep!M33+Oct!M33+Nov!M33+Dec!M33</f>
        <v>440</v>
      </c>
      <c r="N33" s="85">
        <f>Jan!N33+Feb!N33+Mar!N33+Apr!N33+May!N33+June!N33+July!N33+Aug!N33+Sep!N33+Oct!N33+Nov!N33+Dec!N33</f>
        <v>12544</v>
      </c>
      <c r="O33" s="85">
        <f>Jan!O33+Feb!O33+Mar!O33+Apr!O33+May!O33+June!O33+July!O33+Aug!O33+Sep!O33+Oct!O33+Nov!O33+Dec!O33</f>
        <v>19174</v>
      </c>
      <c r="P33" s="85">
        <f>Jan!P33+Feb!P33+Mar!P33+Apr!P33+May!P33+June!P33+July!P33+Aug!P33+Sep!P33+Oct!P33+Nov!P33+Dec!P33</f>
        <v>2160</v>
      </c>
      <c r="Q33" s="85">
        <f>Jan!Q33+Feb!Q33+Mar!Q33+Apr!Q33+May!Q33+June!Q33+July!Q33+Aug!Q33+Sep!Q33+Oct!Q33+Nov!Q33+Dec!Q33</f>
        <v>3165</v>
      </c>
      <c r="R33" s="85">
        <f>Jan!R33+Feb!R33+Mar!R33+Apr!R33+May!R33+June!R33+July!R33+Aug!R33+Sep!R33+Oct!R33+Nov!R33+Dec!R33</f>
        <v>0</v>
      </c>
      <c r="S33" s="86">
        <f>Jan!S33+Feb!S33+Mar!S33+Apr!S33+May!S33+June!S33+July!S33+Aug!S33+Sep!S33+Oct!S33+Nov!S33+Dec!S33</f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f>Jan!G34+Feb!G34+Mar!G34+Apr!G34+May!G34+June!G34+July!G34+Aug!G34+Sep!G34+Oct!G34+Nov!G34+Dec!G34</f>
        <v>4943</v>
      </c>
      <c r="H34" s="83">
        <f>Jan!H34+Feb!H34+Mar!H34+Apr!H34+May!H34+June!H34+July!H34+Aug!H34+Sep!H34+Oct!H34+Nov!H34+Dec!H34</f>
        <v>4942</v>
      </c>
      <c r="I34" s="84">
        <f>Jan!I34+Feb!I34+Mar!I34+Apr!I34+May!I34+June!I34+July!I34+Aug!I34+Sep!I34+Oct!I34+Nov!I34+Dec!I34</f>
        <v>0</v>
      </c>
      <c r="J34" s="85">
        <f>Jan!J34+Feb!J34+Mar!J34+Apr!J34+May!J34+June!J34+July!J34+Aug!J34+Sep!J34+Oct!J34+Nov!J34+Dec!J34</f>
        <v>0</v>
      </c>
      <c r="K34" s="85">
        <f>Jan!K34+Feb!K34+Mar!K34+Apr!K34+May!K34+June!K34+July!K34+Aug!K34+Sep!K34+Oct!K34+Nov!K34+Dec!K34</f>
        <v>0</v>
      </c>
      <c r="L34" s="85">
        <f>Jan!L34+Feb!L34+Mar!L34+Apr!L34+May!L34+June!L34+July!L34+Aug!L34+Sep!L34+Oct!L34+Nov!L34+Dec!L34</f>
        <v>0</v>
      </c>
      <c r="M34" s="85">
        <f>Jan!M34+Feb!M34+Mar!M34+Apr!M34+May!M34+June!M34+July!M34+Aug!M34+Sep!M34+Oct!M34+Nov!M34+Dec!M34</f>
        <v>1</v>
      </c>
      <c r="N34" s="85">
        <f>Jan!N34+Feb!N34+Mar!N34+Apr!N34+May!N34+June!N34+July!N34+Aug!N34+Sep!N34+Oct!N34+Nov!N34+Dec!N34</f>
        <v>0</v>
      </c>
      <c r="O34" s="85">
        <f>Jan!O34+Feb!O34+Mar!O34+Apr!O34+May!O34+June!O34+July!O34+Aug!O34+Sep!O34+Oct!O34+Nov!O34+Dec!O34</f>
        <v>0</v>
      </c>
      <c r="P34" s="85">
        <f>Jan!P34+Feb!P34+Mar!P34+Apr!P34+May!P34+June!P34+July!P34+Aug!P34+Sep!P34+Oct!P34+Nov!P34+Dec!P34</f>
        <v>0</v>
      </c>
      <c r="Q34" s="85">
        <f>Jan!Q34+Feb!Q34+Mar!Q34+Apr!Q34+May!Q34+June!Q34+July!Q34+Aug!Q34+Sep!Q34+Oct!Q34+Nov!Q34+Dec!Q34</f>
        <v>0</v>
      </c>
      <c r="R34" s="85">
        <f>Jan!R34+Feb!R34+Mar!R34+Apr!R34+May!R34+June!R34+July!R34+Aug!R34+Sep!R34+Oct!R34+Nov!R34+Dec!R34</f>
        <v>0</v>
      </c>
      <c r="S34" s="86">
        <f>Jan!S34+Feb!S34+Mar!S34+Apr!S34+May!S34+June!S34+July!S34+Aug!S34+Sep!S34+Oct!S34+Nov!S34+Dec!S34</f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f>Jan!G35+Feb!G35+Mar!G35+Apr!G35+May!G35+June!G35+July!G35+Aug!G35+Sep!G35+Oct!G35+Nov!G35+Dec!G35</f>
        <v>1411</v>
      </c>
      <c r="H35" s="83">
        <f>Jan!H35+Feb!H35+Mar!H35+Apr!H35+May!H35+June!H35+July!H35+Aug!H35+Sep!H35+Oct!H35+Nov!H35+Dec!H35</f>
        <v>1411</v>
      </c>
      <c r="I35" s="84">
        <f>Jan!I35+Feb!I35+Mar!I35+Apr!I35+May!I35+June!I35+July!I35+Aug!I35+Sep!I35+Oct!I35+Nov!I35+Dec!I35</f>
        <v>0</v>
      </c>
      <c r="J35" s="85">
        <f>Jan!J35+Feb!J35+Mar!J35+Apr!J35+May!J35+June!J35+July!J35+Aug!J35+Sep!J35+Oct!J35+Nov!J35+Dec!J35</f>
        <v>0</v>
      </c>
      <c r="K35" s="85">
        <f>Jan!K35+Feb!K35+Mar!K35+Apr!K35+May!K35+June!K35+July!K35+Aug!K35+Sep!K35+Oct!K35+Nov!K35+Dec!K35</f>
        <v>0</v>
      </c>
      <c r="L35" s="85">
        <f>Jan!L35+Feb!L35+Mar!L35+Apr!L35+May!L35+June!L35+July!L35+Aug!L35+Sep!L35+Oct!L35+Nov!L35+Dec!L35</f>
        <v>0</v>
      </c>
      <c r="M35" s="85">
        <f>Jan!M35+Feb!M35+Mar!M35+Apr!M35+May!M35+June!M35+July!M35+Aug!M35+Sep!M35+Oct!M35+Nov!M35+Dec!M35</f>
        <v>0</v>
      </c>
      <c r="N35" s="85">
        <f>Jan!N35+Feb!N35+Mar!N35+Apr!N35+May!N35+June!N35+July!N35+Aug!N35+Sep!N35+Oct!N35+Nov!N35+Dec!N35</f>
        <v>0</v>
      </c>
      <c r="O35" s="85">
        <f>Jan!O35+Feb!O35+Mar!O35+Apr!O35+May!O35+June!O35+July!O35+Aug!O35+Sep!O35+Oct!O35+Nov!O35+Dec!O35</f>
        <v>0</v>
      </c>
      <c r="P35" s="85">
        <f>Jan!P35+Feb!P35+Mar!P35+Apr!P35+May!P35+June!P35+July!P35+Aug!P35+Sep!P35+Oct!P35+Nov!P35+Dec!P35</f>
        <v>0</v>
      </c>
      <c r="Q35" s="85">
        <f>Jan!Q35+Feb!Q35+Mar!Q35+Apr!Q35+May!Q35+June!Q35+July!Q35+Aug!Q35+Sep!Q35+Oct!Q35+Nov!Q35+Dec!Q35</f>
        <v>0</v>
      </c>
      <c r="R35" s="85">
        <f>Jan!R35+Feb!R35+Mar!R35+Apr!R35+May!R35+June!R35+July!R35+Aug!R35+Sep!R35+Oct!R35+Nov!R35+Dec!R35</f>
        <v>0</v>
      </c>
      <c r="S35" s="86">
        <f>Jan!S35+Feb!S35+Mar!S35+Apr!S35+May!S35+June!S35+July!S35+Aug!S35+Sep!S35+Oct!S35+Nov!S35+Dec!S35</f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f>Jan!G36+Feb!G36+Mar!G36+Apr!G36+May!G36+June!G36+July!G36+Aug!G36+Sep!G36+Oct!G36+Nov!G36+Dec!G36</f>
        <v>5272</v>
      </c>
      <c r="H36" s="90">
        <f>Jan!H36+Feb!H36+Mar!H36+Apr!H36+May!H36+June!H36+July!H36+Aug!H36+Sep!H36+Oct!H36+Nov!H36+Dec!H36</f>
        <v>3836</v>
      </c>
      <c r="I36" s="91">
        <f>Jan!I36+Feb!I36+Mar!I36+Apr!I36+May!I36+June!I36+July!I36+Aug!I36+Sep!I36+Oct!I36+Nov!I36+Dec!I36</f>
        <v>0</v>
      </c>
      <c r="J36" s="92">
        <f>Jan!J36+Feb!J36+Mar!J36+Apr!J36+May!J36+June!J36+July!J36+Aug!J36+Sep!J36+Oct!J36+Nov!J36+Dec!J36</f>
        <v>0</v>
      </c>
      <c r="K36" s="92">
        <f>Jan!K36+Feb!K36+Mar!K36+Apr!K36+May!K36+June!K36+July!K36+Aug!K36+Sep!K36+Oct!K36+Nov!K36+Dec!K36</f>
        <v>0</v>
      </c>
      <c r="L36" s="92">
        <f>Jan!L36+Feb!L36+Mar!L36+Apr!L36+May!L36+June!L36+July!L36+Aug!L36+Sep!L36+Oct!L36+Nov!L36+Dec!L36</f>
        <v>1430</v>
      </c>
      <c r="M36" s="92">
        <f>Jan!M36+Feb!M36+Mar!M36+Apr!M36+May!M36+June!M36+July!M36+Aug!M36+Sep!M36+Oct!M36+Nov!M36+Dec!M36</f>
        <v>0</v>
      </c>
      <c r="N36" s="92">
        <f>Jan!N36+Feb!N36+Mar!N36+Apr!N36+May!N36+June!N36+July!N36+Aug!N36+Sep!N36+Oct!N36+Nov!N36+Dec!N36</f>
        <v>0</v>
      </c>
      <c r="O36" s="92">
        <f>Jan!O36+Feb!O36+Mar!O36+Apr!O36+May!O36+June!O36+July!O36+Aug!O36+Sep!O36+Oct!O36+Nov!O36+Dec!O36</f>
        <v>3</v>
      </c>
      <c r="P36" s="92">
        <f>Jan!P36+Feb!P36+Mar!P36+Apr!P36+May!P36+June!P36+July!P36+Aug!P36+Sep!P36+Oct!P36+Nov!P36+Dec!P36</f>
        <v>3</v>
      </c>
      <c r="Q36" s="92">
        <f>Jan!Q36+Feb!Q36+Mar!Q36+Apr!Q36+May!Q36+June!Q36+July!Q36+Aug!Q36+Sep!Q36+Oct!Q36+Nov!Q36+Dec!Q36</f>
        <v>0</v>
      </c>
      <c r="R36" s="92">
        <f>Jan!R36+Feb!R36+Mar!R36+Apr!R36+May!R36+June!R36+July!R36+Aug!R36+Sep!R36+Oct!R36+Nov!R36+Dec!R36</f>
        <v>0</v>
      </c>
      <c r="S36" s="93">
        <f>Jan!S36+Feb!S36+Mar!S36+Apr!S36+May!S36+June!S36+July!S36+Aug!S36+Sep!S36+Oct!S36+Nov!S36+Dec!S36</f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f>Jan!G37+Feb!G37+Mar!G37+Apr!G37+May!G37+June!G37+July!G37+Aug!G37+Sep!G37+Oct!G37+Nov!G37+Dec!G37</f>
        <v>1550658</v>
      </c>
      <c r="H37" s="106">
        <f>Jan!H37+Feb!H37+Mar!H37+Apr!H37+May!H37+June!H37+July!H37+Aug!H37+Sep!H37+Oct!H37+Nov!H37+Dec!H37</f>
        <v>545776</v>
      </c>
      <c r="I37" s="107">
        <f>Jan!I37+Feb!I37+Mar!I37+Apr!I37+May!I37+June!I37+July!I37+Aug!I37+Sep!I37+Oct!I37+Nov!I37+Dec!I37</f>
        <v>380863</v>
      </c>
      <c r="J37" s="97">
        <f>Jan!J37+Feb!J37+Mar!J37+Apr!J37+May!J37+June!J37+July!J37+Aug!J37+Sep!J37+Oct!J37+Nov!J37+Dec!J37</f>
        <v>70513</v>
      </c>
      <c r="K37" s="97">
        <f>Jan!K37+Feb!K37+Mar!K37+Apr!K37+May!K37+June!K37+July!K37+Aug!K37+Sep!K37+Oct!K37+Nov!K37+Dec!K37</f>
        <v>8154</v>
      </c>
      <c r="L37" s="97">
        <f>Jan!L37+Feb!L37+Mar!L37+Apr!L37+May!L37+June!L37+July!L37+Aug!L37+Sep!L37+Oct!L37+Nov!L37+Dec!L37</f>
        <v>268687</v>
      </c>
      <c r="M37" s="97">
        <f>Jan!M37+Feb!M37+Mar!M37+Apr!M37+May!M37+June!M37+July!M37+Aug!M37+Sep!M37+Oct!M37+Nov!M37+Dec!M37</f>
        <v>25334</v>
      </c>
      <c r="N37" s="97">
        <f>Jan!N37+Feb!N37+Mar!N37+Apr!N37+May!N37+June!N37+July!N37+Aug!N37+Sep!N37+Oct!N37+Nov!N37+Dec!N37</f>
        <v>59090</v>
      </c>
      <c r="O37" s="97">
        <f>Jan!O37+Feb!O37+Mar!O37+Apr!O37+May!O37+June!O37+July!O37+Aug!O37+Sep!O37+Oct!O37+Nov!O37+Dec!O37</f>
        <v>76469</v>
      </c>
      <c r="P37" s="97">
        <f>Jan!P37+Feb!P37+Mar!P37+Apr!P37+May!P37+June!P37+July!P37+Aug!P37+Sep!P37+Oct!P37+Nov!P37+Dec!P37</f>
        <v>18386</v>
      </c>
      <c r="Q37" s="97">
        <f>Jan!Q37+Feb!Q37+Mar!Q37+Apr!Q37+May!Q37+June!Q37+July!Q37+Aug!Q37+Sep!Q37+Oct!Q37+Nov!Q37+Dec!Q37</f>
        <v>96884</v>
      </c>
      <c r="R37" s="97">
        <f>Jan!R37+Feb!R37+Mar!R37+Apr!R37+May!R37+June!R37+July!R37+Aug!R37+Sep!R37+Oct!R37+Nov!R37+Dec!R37</f>
        <v>479</v>
      </c>
      <c r="S37" s="98">
        <f>Jan!S37+Feb!S37+Mar!S37+Apr!S37+May!S37+June!S37+July!S37+Aug!S37+Sep!S37+Oct!S37+Nov!S37+Dec!S37</f>
        <v>23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f>Jan!G38+Feb!G38+Mar!G38+Apr!G38+May!G38+June!G38+July!G38+Aug!G38+Sep!G38+Oct!G38+Nov!G38+Dec!G38</f>
        <v>4</v>
      </c>
      <c r="H38" s="83">
        <f>Jan!H38+Feb!H38+Mar!H38+Apr!H38+May!H38+June!H38+July!H38+Aug!H38+Sep!H38+Oct!H38+Nov!H38+Dec!H38</f>
        <v>0</v>
      </c>
      <c r="I38" s="84">
        <f>Jan!I38+Feb!I38+Mar!I38+Apr!I38+May!I38+June!I38+July!I38+Aug!I38+Sep!I38+Oct!I38+Nov!I38+Dec!I38</f>
        <v>3</v>
      </c>
      <c r="J38" s="85">
        <f>Jan!J38+Feb!J38+Mar!J38+Apr!J38+May!J38+June!J38+July!J38+Aug!J38+Sep!J38+Oct!J38+Nov!J38+Dec!J38</f>
        <v>1</v>
      </c>
      <c r="K38" s="85">
        <f>Jan!K38+Feb!K38+Mar!K38+Apr!K38+May!K38+June!K38+July!K38+Aug!K38+Sep!K38+Oct!K38+Nov!K38+Dec!K38</f>
        <v>0</v>
      </c>
      <c r="L38" s="85">
        <f>Jan!L38+Feb!L38+Mar!L38+Apr!L38+May!L38+June!L38+July!L38+Aug!L38+Sep!L38+Oct!L38+Nov!L38+Dec!L38</f>
        <v>0</v>
      </c>
      <c r="M38" s="85">
        <f>Jan!M38+Feb!M38+Mar!M38+Apr!M38+May!M38+June!M38+July!M38+Aug!M38+Sep!M38+Oct!M38+Nov!M38+Dec!M38</f>
        <v>0</v>
      </c>
      <c r="N38" s="85">
        <f>Jan!N38+Feb!N38+Mar!N38+Apr!N38+May!N38+June!N38+July!N38+Aug!N38+Sep!N38+Oct!N38+Nov!N38+Dec!N38</f>
        <v>0</v>
      </c>
      <c r="O38" s="85">
        <f>Jan!O38+Feb!O38+Mar!O38+Apr!O38+May!O38+June!O38+July!O38+Aug!O38+Sep!O38+Oct!O38+Nov!O38+Dec!O38</f>
        <v>0</v>
      </c>
      <c r="P38" s="85">
        <f>Jan!P38+Feb!P38+Mar!P38+Apr!P38+May!P38+June!P38+July!P38+Aug!P38+Sep!P38+Oct!P38+Nov!P38+Dec!P38</f>
        <v>0</v>
      </c>
      <c r="Q38" s="85">
        <f>Jan!Q38+Feb!Q38+Mar!Q38+Apr!Q38+May!Q38+June!Q38+July!Q38+Aug!Q38+Sep!Q38+Oct!Q38+Nov!Q38+Dec!Q38</f>
        <v>0</v>
      </c>
      <c r="R38" s="85">
        <f>Jan!R38+Feb!R38+Mar!R38+Apr!R38+May!R38+June!R38+July!R38+Aug!R38+Sep!R38+Oct!R38+Nov!R38+Dec!R38</f>
        <v>0</v>
      </c>
      <c r="S38" s="86">
        <f>Jan!S38+Feb!S38+Mar!S38+Apr!S38+May!S38+June!S38+July!S38+Aug!S38+Sep!S38+Oct!S38+Nov!S38+Dec!S38</f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f>Jan!G39+Feb!G39+Mar!G39+Apr!G39+May!G39+June!G39+July!G39+Aug!G39+Sep!G39+Oct!G39+Nov!G39+Dec!G39</f>
        <v>112310</v>
      </c>
      <c r="H39" s="83">
        <f>Jan!H39+Feb!H39+Mar!H39+Apr!H39+May!H39+June!H39+July!H39+Aug!H39+Sep!H39+Oct!H39+Nov!H39+Dec!H39</f>
        <v>0</v>
      </c>
      <c r="I39" s="84">
        <f>Jan!I39+Feb!I39+Mar!I39+Apr!I39+May!I39+June!I39+July!I39+Aug!I39+Sep!I39+Oct!I39+Nov!I39+Dec!I39</f>
        <v>111311</v>
      </c>
      <c r="J39" s="85">
        <f>Jan!J39+Feb!J39+Mar!J39+Apr!J39+May!J39+June!J39+July!J39+Aug!J39+Sep!J39+Oct!J39+Nov!J39+Dec!J39</f>
        <v>0</v>
      </c>
      <c r="K39" s="85">
        <f>Jan!K39+Feb!K39+Mar!K39+Apr!K39+May!K39+June!K39+July!K39+Aug!K39+Sep!K39+Oct!K39+Nov!K39+Dec!K39</f>
        <v>0</v>
      </c>
      <c r="L39" s="85">
        <f>Jan!L39+Feb!L39+Mar!L39+Apr!L39+May!L39+June!L39+July!L39+Aug!L39+Sep!L39+Oct!L39+Nov!L39+Dec!L39</f>
        <v>0</v>
      </c>
      <c r="M39" s="85">
        <f>Jan!M39+Feb!M39+Mar!M39+Apr!M39+May!M39+June!M39+July!M39+Aug!M39+Sep!M39+Oct!M39+Nov!M39+Dec!M39</f>
        <v>0</v>
      </c>
      <c r="N39" s="85">
        <f>Jan!N39+Feb!N39+Mar!N39+Apr!N39+May!N39+June!N39+July!N39+Aug!N39+Sep!N39+Oct!N39+Nov!N39+Dec!N39</f>
        <v>999</v>
      </c>
      <c r="O39" s="85">
        <f>Jan!O39+Feb!O39+Mar!O39+Apr!O39+May!O39+June!O39+July!O39+Aug!O39+Sep!O39+Oct!O39+Nov!O39+Dec!O39</f>
        <v>0</v>
      </c>
      <c r="P39" s="85">
        <f>Jan!P39+Feb!P39+Mar!P39+Apr!P39+May!P39+June!P39+July!P39+Aug!P39+Sep!P39+Oct!P39+Nov!P39+Dec!P39</f>
        <v>0</v>
      </c>
      <c r="Q39" s="85">
        <f>Jan!Q39+Feb!Q39+Mar!Q39+Apr!Q39+May!Q39+June!Q39+July!Q39+Aug!Q39+Sep!Q39+Oct!Q39+Nov!Q39+Dec!Q39</f>
        <v>0</v>
      </c>
      <c r="R39" s="85">
        <f>Jan!R39+Feb!R39+Mar!R39+Apr!R39+May!R39+June!R39+July!R39+Aug!R39+Sep!R39+Oct!R39+Nov!R39+Dec!R39</f>
        <v>0</v>
      </c>
      <c r="S39" s="86">
        <f>Jan!S39+Feb!S39+Mar!S39+Apr!S39+May!S39+June!S39+July!S39+Aug!S39+Sep!S39+Oct!S39+Nov!S39+Dec!S39</f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f>Jan!G40+Feb!G40+Mar!G40+Apr!G40+May!G40+June!G40+July!G40+Aug!G40+Sep!G40+Oct!G40+Nov!G40+Dec!G40</f>
        <v>83802</v>
      </c>
      <c r="H40" s="83">
        <f>Jan!H40+Feb!H40+Mar!H40+Apr!H40+May!H40+June!H40+July!H40+Aug!H40+Sep!H40+Oct!H40+Nov!H40+Dec!H40</f>
        <v>0</v>
      </c>
      <c r="I40" s="84">
        <f>Jan!I40+Feb!I40+Mar!I40+Apr!I40+May!I40+June!I40+July!I40+Aug!I40+Sep!I40+Oct!I40+Nov!I40+Dec!I40</f>
        <v>74284</v>
      </c>
      <c r="J40" s="85">
        <f>Jan!J40+Feb!J40+Mar!J40+Apr!J40+May!J40+June!J40+July!J40+Aug!J40+Sep!J40+Oct!J40+Nov!J40+Dec!J40</f>
        <v>7114</v>
      </c>
      <c r="K40" s="85">
        <f>Jan!K40+Feb!K40+Mar!K40+Apr!K40+May!K40+June!K40+July!K40+Aug!K40+Sep!K40+Oct!K40+Nov!K40+Dec!K40</f>
        <v>1731</v>
      </c>
      <c r="L40" s="85">
        <f>Jan!L40+Feb!L40+Mar!L40+Apr!L40+May!L40+June!L40+July!L40+Aug!L40+Sep!L40+Oct!L40+Nov!L40+Dec!L40</f>
        <v>0</v>
      </c>
      <c r="M40" s="85">
        <f>Jan!M40+Feb!M40+Mar!M40+Apr!M40+May!M40+June!M40+July!M40+Aug!M40+Sep!M40+Oct!M40+Nov!M40+Dec!M40</f>
        <v>0</v>
      </c>
      <c r="N40" s="85">
        <f>Jan!N40+Feb!N40+Mar!N40+Apr!N40+May!N40+June!N40+July!N40+Aug!N40+Sep!N40+Oct!N40+Nov!N40+Dec!N40</f>
        <v>662</v>
      </c>
      <c r="O40" s="85">
        <f>Jan!O40+Feb!O40+Mar!O40+Apr!O40+May!O40+June!O40+July!O40+Aug!O40+Sep!O40+Oct!O40+Nov!O40+Dec!O40</f>
        <v>0</v>
      </c>
      <c r="P40" s="85">
        <f>Jan!P40+Feb!P40+Mar!P40+Apr!P40+May!P40+June!P40+July!P40+Aug!P40+Sep!P40+Oct!P40+Nov!P40+Dec!P40</f>
        <v>0</v>
      </c>
      <c r="Q40" s="85">
        <f>Jan!Q40+Feb!Q40+Mar!Q40+Apr!Q40+May!Q40+June!Q40+July!Q40+Aug!Q40+Sep!Q40+Oct!Q40+Nov!Q40+Dec!Q40</f>
        <v>11</v>
      </c>
      <c r="R40" s="85">
        <f>Jan!R40+Feb!R40+Mar!R40+Apr!R40+May!R40+June!R40+July!R40+Aug!R40+Sep!R40+Oct!R40+Nov!R40+Dec!R40</f>
        <v>0</v>
      </c>
      <c r="S40" s="86">
        <f>Jan!S40+Feb!S40+Mar!S40+Apr!S40+May!S40+June!S40+July!S40+Aug!S40+Sep!S40+Oct!S40+Nov!S40+Dec!S40</f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f>Jan!G41+Feb!G41+Mar!G41+Apr!G41+May!G41+June!G41+July!G41+Aug!G41+Sep!G41+Oct!G41+Nov!G41+Dec!G41</f>
        <v>126784</v>
      </c>
      <c r="H41" s="83">
        <f>Jan!H41+Feb!H41+Mar!H41+Apr!H41+May!H41+June!H41+July!H41+Aug!H41+Sep!H41+Oct!H41+Nov!H41+Dec!H41</f>
        <v>0</v>
      </c>
      <c r="I41" s="84">
        <f>Jan!I41+Feb!I41+Mar!I41+Apr!I41+May!I41+June!I41+July!I41+Aug!I41+Sep!I41+Oct!I41+Nov!I41+Dec!I41</f>
        <v>123281</v>
      </c>
      <c r="J41" s="85">
        <f>Jan!J41+Feb!J41+Mar!J41+Apr!J41+May!J41+June!J41+July!J41+Aug!J41+Sep!J41+Oct!J41+Nov!J41+Dec!J41</f>
        <v>2170</v>
      </c>
      <c r="K41" s="85">
        <f>Jan!K41+Feb!K41+Mar!K41+Apr!K41+May!K41+June!K41+July!K41+Aug!K41+Sep!K41+Oct!K41+Nov!K41+Dec!K41</f>
        <v>371</v>
      </c>
      <c r="L41" s="85">
        <f>Jan!L41+Feb!L41+Mar!L41+Apr!L41+May!L41+June!L41+July!L41+Aug!L41+Sep!L41+Oct!L41+Nov!L41+Dec!L41</f>
        <v>0</v>
      </c>
      <c r="M41" s="85">
        <f>Jan!M41+Feb!M41+Mar!M41+Apr!M41+May!M41+June!M41+July!M41+Aug!M41+Sep!M41+Oct!M41+Nov!M41+Dec!M41</f>
        <v>0</v>
      </c>
      <c r="N41" s="85">
        <f>Jan!N41+Feb!N41+Mar!N41+Apr!N41+May!N41+June!N41+July!N41+Aug!N41+Sep!N41+Oct!N41+Nov!N41+Dec!N41</f>
        <v>196</v>
      </c>
      <c r="O41" s="85">
        <f>Jan!O41+Feb!O41+Mar!O41+Apr!O41+May!O41+June!O41+July!O41+Aug!O41+Sep!O41+Oct!O41+Nov!O41+Dec!O41</f>
        <v>722</v>
      </c>
      <c r="P41" s="85">
        <f>Jan!P41+Feb!P41+Mar!P41+Apr!P41+May!P41+June!P41+July!P41+Aug!P41+Sep!P41+Oct!P41+Nov!P41+Dec!P41</f>
        <v>0</v>
      </c>
      <c r="Q41" s="85">
        <f>Jan!Q41+Feb!Q41+Mar!Q41+Apr!Q41+May!Q41+June!Q41+July!Q41+Aug!Q41+Sep!Q41+Oct!Q41+Nov!Q41+Dec!Q41</f>
        <v>44</v>
      </c>
      <c r="R41" s="85">
        <f>Jan!R41+Feb!R41+Mar!R41+Apr!R41+May!R41+June!R41+July!R41+Aug!R41+Sep!R41+Oct!R41+Nov!R41+Dec!R41</f>
        <v>0</v>
      </c>
      <c r="S41" s="86">
        <f>Jan!S41+Feb!S41+Mar!S41+Apr!S41+May!S41+June!S41+July!S41+Aug!S41+Sep!S41+Oct!S41+Nov!S41+Dec!S41</f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f>Jan!G42+Feb!G42+Mar!G42+Apr!G42+May!G42+June!G42+July!G42+Aug!G42+Sep!G42+Oct!G42+Nov!G42+Dec!G42</f>
        <v>9460</v>
      </c>
      <c r="H42" s="83">
        <f>Jan!H42+Feb!H42+Mar!H42+Apr!H42+May!H42+June!H42+July!H42+Aug!H42+Sep!H42+Oct!H42+Nov!H42+Dec!H42</f>
        <v>0</v>
      </c>
      <c r="I42" s="84">
        <f>Jan!I42+Feb!I42+Mar!I42+Apr!I42+May!I42+June!I42+July!I42+Aug!I42+Sep!I42+Oct!I42+Nov!I42+Dec!I42</f>
        <v>8651</v>
      </c>
      <c r="J42" s="85">
        <f>Jan!J42+Feb!J42+Mar!J42+Apr!J42+May!J42+June!J42+July!J42+Aug!J42+Sep!J42+Oct!J42+Nov!J42+Dec!J42</f>
        <v>809</v>
      </c>
      <c r="K42" s="85">
        <f>Jan!K42+Feb!K42+Mar!K42+Apr!K42+May!K42+June!K42+July!K42+Aug!K42+Sep!K42+Oct!K42+Nov!K42+Dec!K42</f>
        <v>0</v>
      </c>
      <c r="L42" s="85">
        <f>Jan!L42+Feb!L42+Mar!L42+Apr!L42+May!L42+June!L42+July!L42+Aug!L42+Sep!L42+Oct!L42+Nov!L42+Dec!L42</f>
        <v>0</v>
      </c>
      <c r="M42" s="85">
        <f>Jan!M42+Feb!M42+Mar!M42+Apr!M42+May!M42+June!M42+July!M42+Aug!M42+Sep!M42+Oct!M42+Nov!M42+Dec!M42</f>
        <v>0</v>
      </c>
      <c r="N42" s="85">
        <f>Jan!N42+Feb!N42+Mar!N42+Apr!N42+May!N42+June!N42+July!N42+Aug!N42+Sep!N42+Oct!N42+Nov!N42+Dec!N42</f>
        <v>0</v>
      </c>
      <c r="O42" s="85">
        <f>Jan!O42+Feb!O42+Mar!O42+Apr!O42+May!O42+June!O42+July!O42+Aug!O42+Sep!O42+Oct!O42+Nov!O42+Dec!O42</f>
        <v>0</v>
      </c>
      <c r="P42" s="85">
        <f>Jan!P42+Feb!P42+Mar!P42+Apr!P42+May!P42+June!P42+July!P42+Aug!P42+Sep!P42+Oct!P42+Nov!P42+Dec!P42</f>
        <v>0</v>
      </c>
      <c r="Q42" s="85">
        <f>Jan!Q42+Feb!Q42+Mar!Q42+Apr!Q42+May!Q42+June!Q42+July!Q42+Aug!Q42+Sep!Q42+Oct!Q42+Nov!Q42+Dec!Q42</f>
        <v>0</v>
      </c>
      <c r="R42" s="85">
        <f>Jan!R42+Feb!R42+Mar!R42+Apr!R42+May!R42+June!R42+July!R42+Aug!R42+Sep!R42+Oct!R42+Nov!R42+Dec!R42</f>
        <v>0</v>
      </c>
      <c r="S42" s="86">
        <f>Jan!S42+Feb!S42+Mar!S42+Apr!S42+May!S42+June!S42+July!S42+Aug!S42+Sep!S42+Oct!S42+Nov!S42+Dec!S42</f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f>Jan!G43+Feb!G43+Mar!G43+Apr!G43+May!G43+June!G43+July!G43+Aug!G43+Sep!G43+Oct!G43+Nov!G43+Dec!G43</f>
        <v>13263</v>
      </c>
      <c r="H43" s="90">
        <f>Jan!H43+Feb!H43+Mar!H43+Apr!H43+May!H43+June!H43+July!H43+Aug!H43+Sep!H43+Oct!H43+Nov!H43+Dec!H43</f>
        <v>0</v>
      </c>
      <c r="I43" s="91">
        <f>Jan!I43+Feb!I43+Mar!I43+Apr!I43+May!I43+June!I43+July!I43+Aug!I43+Sep!I43+Oct!I43+Nov!I43+Dec!I43</f>
        <v>13248</v>
      </c>
      <c r="J43" s="92">
        <f>Jan!J43+Feb!J43+Mar!J43+Apr!J43+May!J43+June!J43+July!J43+Aug!J43+Sep!J43+Oct!J43+Nov!J43+Dec!J43</f>
        <v>0</v>
      </c>
      <c r="K43" s="92">
        <f>Jan!K43+Feb!K43+Mar!K43+Apr!K43+May!K43+June!K43+July!K43+Aug!K43+Sep!K43+Oct!K43+Nov!K43+Dec!K43</f>
        <v>0</v>
      </c>
      <c r="L43" s="92">
        <f>Jan!L43+Feb!L43+Mar!L43+Apr!L43+May!L43+June!L43+July!L43+Aug!L43+Sep!L43+Oct!L43+Nov!L43+Dec!L43</f>
        <v>0</v>
      </c>
      <c r="M43" s="92">
        <f>Jan!M43+Feb!M43+Mar!M43+Apr!M43+May!M43+June!M43+July!M43+Aug!M43+Sep!M43+Oct!M43+Nov!M43+Dec!M43</f>
        <v>0</v>
      </c>
      <c r="N43" s="92">
        <f>Jan!N43+Feb!N43+Mar!N43+Apr!N43+May!N43+June!N43+July!N43+Aug!N43+Sep!N43+Oct!N43+Nov!N43+Dec!N43</f>
        <v>14</v>
      </c>
      <c r="O43" s="92">
        <f>Jan!O43+Feb!O43+Mar!O43+Apr!O43+May!O43+June!O43+July!O43+Aug!O43+Sep!O43+Oct!O43+Nov!O43+Dec!O43</f>
        <v>0</v>
      </c>
      <c r="P43" s="92">
        <f>Jan!P43+Feb!P43+Mar!P43+Apr!P43+May!P43+June!P43+July!P43+Aug!P43+Sep!P43+Oct!P43+Nov!P43+Dec!P43</f>
        <v>0</v>
      </c>
      <c r="Q43" s="92">
        <f>Jan!Q43+Feb!Q43+Mar!Q43+Apr!Q43+May!Q43+June!Q43+July!Q43+Aug!Q43+Sep!Q43+Oct!Q43+Nov!Q43+Dec!Q43</f>
        <v>1</v>
      </c>
      <c r="R43" s="92">
        <f>Jan!R43+Feb!R43+Mar!R43+Apr!R43+May!R43+June!R43+July!R43+Aug!R43+Sep!R43+Oct!R43+Nov!R43+Dec!R43</f>
        <v>0</v>
      </c>
      <c r="S43" s="93">
        <f>Jan!S43+Feb!S43+Mar!S43+Apr!S43+May!S43+June!S43+July!S43+Aug!S43+Sep!S43+Oct!S43+Nov!S43+Dec!S43</f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f>Jan!G44+Feb!G44+Mar!G44+Apr!G44+May!G44+June!G44+July!G44+Aug!G44+Sep!G44+Oct!G44+Nov!G44+Dec!G44</f>
        <v>345623</v>
      </c>
      <c r="H44" s="95">
        <f>Jan!H44+Feb!H44+Mar!H44+Apr!H44+May!H44+June!H44+July!H44+Aug!H44+Sep!H44+Oct!H44+Nov!H44+Dec!H44</f>
        <v>0</v>
      </c>
      <c r="I44" s="107">
        <f>Jan!I44+Feb!I44+Mar!I44+Apr!I44+May!I44+June!I44+July!I44+Aug!I44+Sep!I44+Oct!I44+Nov!I44+Dec!I44</f>
        <v>330778</v>
      </c>
      <c r="J44" s="97">
        <f>Jan!J44+Feb!J44+Mar!J44+Apr!J44+May!J44+June!J44+July!J44+Aug!J44+Sep!J44+Oct!J44+Nov!J44+Dec!J44</f>
        <v>10094</v>
      </c>
      <c r="K44" s="97">
        <f>Jan!K44+Feb!K44+Mar!K44+Apr!K44+May!K44+June!K44+July!K44+Aug!K44+Sep!K44+Oct!K44+Nov!K44+Dec!K44</f>
        <v>2102</v>
      </c>
      <c r="L44" s="97">
        <f>Jan!L44+Feb!L44+Mar!L44+Apr!L44+May!L44+June!L44+July!L44+Aug!L44+Sep!L44+Oct!L44+Nov!L44+Dec!L44</f>
        <v>0</v>
      </c>
      <c r="M44" s="97">
        <f>Jan!M44+Feb!M44+Mar!M44+Apr!M44+May!M44+June!M44+July!M44+Aug!M44+Sep!M44+Oct!M44+Nov!M44+Dec!M44</f>
        <v>0</v>
      </c>
      <c r="N44" s="97">
        <f>Jan!N44+Feb!N44+Mar!N44+Apr!N44+May!N44+June!N44+July!N44+Aug!N44+Sep!N44+Oct!N44+Nov!N44+Dec!N44</f>
        <v>1871</v>
      </c>
      <c r="O44" s="97">
        <f>Jan!O44+Feb!O44+Mar!O44+Apr!O44+May!O44+June!O44+July!O44+Aug!O44+Sep!O44+Oct!O44+Nov!O44+Dec!O44</f>
        <v>722</v>
      </c>
      <c r="P44" s="97">
        <f>Jan!P44+Feb!P44+Mar!P44+Apr!P44+May!P44+June!P44+July!P44+Aug!P44+Sep!P44+Oct!P44+Nov!P44+Dec!P44</f>
        <v>0</v>
      </c>
      <c r="Q44" s="97">
        <f>Jan!Q44+Feb!Q44+Mar!Q44+Apr!Q44+May!Q44+June!Q44+July!Q44+Aug!Q44+Sep!Q44+Oct!Q44+Nov!Q44+Dec!Q44</f>
        <v>56</v>
      </c>
      <c r="R44" s="97">
        <f>Jan!R44+Feb!R44+Mar!R44+Apr!R44+May!R44+June!R44+July!R44+Aug!R44+Sep!R44+Oct!R44+Nov!R44+Dec!R44</f>
        <v>0</v>
      </c>
      <c r="S44" s="98">
        <f>Jan!S44+Feb!S44+Mar!S44+Apr!S44+May!S44+June!S44+July!S44+Aug!S44+Sep!S44+Oct!S44+Nov!S44+Dec!S44</f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f>Jan!G45+Feb!G45+Mar!G45+Apr!G45+May!G45+June!G45+July!G45+Aug!G45+Sep!G45+Oct!G45+Nov!G45+Dec!G45</f>
        <v>0</v>
      </c>
      <c r="H45" s="83">
        <f>Jan!H45+Feb!H45+Mar!H45+Apr!H45+May!H45+June!H45+July!H45+Aug!H45+Sep!H45+Oct!H45+Nov!H45+Dec!H45</f>
        <v>0</v>
      </c>
      <c r="I45" s="84">
        <f>Jan!I45+Feb!I45+Mar!I45+Apr!I45+May!I45+June!I45+July!I45+Aug!I45+Sep!I45+Oct!I45+Nov!I45+Dec!I45</f>
        <v>0</v>
      </c>
      <c r="J45" s="85">
        <f>Jan!J45+Feb!J45+Mar!J45+Apr!J45+May!J45+June!J45+July!J45+Aug!J45+Sep!J45+Oct!J45+Nov!J45+Dec!J45</f>
        <v>0</v>
      </c>
      <c r="K45" s="85">
        <f>Jan!K45+Feb!K45+Mar!K45+Apr!K45+May!K45+June!K45+July!K45+Aug!K45+Sep!K45+Oct!K45+Nov!K45+Dec!K45</f>
        <v>0</v>
      </c>
      <c r="L45" s="85">
        <f>Jan!L45+Feb!L45+Mar!L45+Apr!L45+May!L45+June!L45+July!L45+Aug!L45+Sep!L45+Oct!L45+Nov!L45+Dec!L45</f>
        <v>0</v>
      </c>
      <c r="M45" s="85">
        <f>Jan!M45+Feb!M45+Mar!M45+Apr!M45+May!M45+June!M45+July!M45+Aug!M45+Sep!M45+Oct!M45+Nov!M45+Dec!M45</f>
        <v>0</v>
      </c>
      <c r="N45" s="85">
        <f>Jan!N45+Feb!N45+Mar!N45+Apr!N45+May!N45+June!N45+July!N45+Aug!N45+Sep!N45+Oct!N45+Nov!N45+Dec!N45</f>
        <v>0</v>
      </c>
      <c r="O45" s="85">
        <f>Jan!O45+Feb!O45+Mar!O45+Apr!O45+May!O45+June!O45+July!O45+Aug!O45+Sep!O45+Oct!O45+Nov!O45+Dec!O45</f>
        <v>0</v>
      </c>
      <c r="P45" s="85">
        <f>Jan!P45+Feb!P45+Mar!P45+Apr!P45+May!P45+June!P45+July!P45+Aug!P45+Sep!P45+Oct!P45+Nov!P45+Dec!P45</f>
        <v>0</v>
      </c>
      <c r="Q45" s="85">
        <f>Jan!Q45+Feb!Q45+Mar!Q45+Apr!Q45+May!Q45+June!Q45+July!Q45+Aug!Q45+Sep!Q45+Oct!Q45+Nov!Q45+Dec!Q45</f>
        <v>0</v>
      </c>
      <c r="R45" s="85">
        <f>Jan!R45+Feb!R45+Mar!R45+Apr!R45+May!R45+June!R45+July!R45+Aug!R45+Sep!R45+Oct!R45+Nov!R45+Dec!R45</f>
        <v>0</v>
      </c>
      <c r="S45" s="86">
        <f>Jan!S45+Feb!S45+Mar!S45+Apr!S45+May!S45+June!S45+July!S45+Aug!S45+Sep!S45+Oct!S45+Nov!S45+Dec!S45</f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f>Jan!G46+Feb!G46+Mar!G46+Apr!G46+May!G46+June!G46+July!G46+Aug!G46+Sep!G46+Oct!G46+Nov!G46+Dec!G46</f>
        <v>3936</v>
      </c>
      <c r="H46" s="83">
        <f>Jan!H46+Feb!H46+Mar!H46+Apr!H46+May!H46+June!H46+July!H46+Aug!H46+Sep!H46+Oct!H46+Nov!H46+Dec!H46</f>
        <v>0</v>
      </c>
      <c r="I46" s="84">
        <f>Jan!I46+Feb!I46+Mar!I46+Apr!I46+May!I46+June!I46+July!I46+Aug!I46+Sep!I46+Oct!I46+Nov!I46+Dec!I46</f>
        <v>0</v>
      </c>
      <c r="J46" s="85">
        <f>Jan!J46+Feb!J46+Mar!J46+Apr!J46+May!J46+June!J46+July!J46+Aug!J46+Sep!J46+Oct!J46+Nov!J46+Dec!J46</f>
        <v>0</v>
      </c>
      <c r="K46" s="85">
        <f>Jan!K46+Feb!K46+Mar!K46+Apr!K46+May!K46+June!K46+July!K46+Aug!K46+Sep!K46+Oct!K46+Nov!K46+Dec!K46</f>
        <v>0</v>
      </c>
      <c r="L46" s="85">
        <f>Jan!L46+Feb!L46+Mar!L46+Apr!L46+May!L46+June!L46+July!L46+Aug!L46+Sep!L46+Oct!L46+Nov!L46+Dec!L46</f>
        <v>3936</v>
      </c>
      <c r="M46" s="85">
        <f>Jan!M46+Feb!M46+Mar!M46+Apr!M46+May!M46+June!M46+July!M46+Aug!M46+Sep!M46+Oct!M46+Nov!M46+Dec!M46</f>
        <v>0</v>
      </c>
      <c r="N46" s="85">
        <f>Jan!N46+Feb!N46+Mar!N46+Apr!N46+May!N46+June!N46+July!N46+Aug!N46+Sep!N46+Oct!N46+Nov!N46+Dec!N46</f>
        <v>0</v>
      </c>
      <c r="O46" s="85">
        <f>Jan!O46+Feb!O46+Mar!O46+Apr!O46+May!O46+June!O46+July!O46+Aug!O46+Sep!O46+Oct!O46+Nov!O46+Dec!O46</f>
        <v>0</v>
      </c>
      <c r="P46" s="85">
        <f>Jan!P46+Feb!P46+Mar!P46+Apr!P46+May!P46+June!P46+July!P46+Aug!P46+Sep!P46+Oct!P46+Nov!P46+Dec!P46</f>
        <v>0</v>
      </c>
      <c r="Q46" s="85">
        <f>Jan!Q46+Feb!Q46+Mar!Q46+Apr!Q46+May!Q46+June!Q46+July!Q46+Aug!Q46+Sep!Q46+Oct!Q46+Nov!Q46+Dec!Q46</f>
        <v>0</v>
      </c>
      <c r="R46" s="85">
        <f>Jan!R46+Feb!R46+Mar!R46+Apr!R46+May!R46+June!R46+July!R46+Aug!R46+Sep!R46+Oct!R46+Nov!R46+Dec!R46</f>
        <v>0</v>
      </c>
      <c r="S46" s="86">
        <f>Jan!S46+Feb!S46+Mar!S46+Apr!S46+May!S46+June!S46+July!S46+Aug!S46+Sep!S46+Oct!S46+Nov!S46+Dec!S46</f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f>Jan!G47+Feb!G47+Mar!G47+Apr!G47+May!G47+June!G47+July!G47+Aug!G47+Sep!G47+Oct!G47+Nov!G47+Dec!G47</f>
        <v>65131</v>
      </c>
      <c r="H47" s="83">
        <f>Jan!H47+Feb!H47+Mar!H47+Apr!H47+May!H47+June!H47+July!H47+Aug!H47+Sep!H47+Oct!H47+Nov!H47+Dec!H47</f>
        <v>0</v>
      </c>
      <c r="I47" s="84">
        <f>Jan!I47+Feb!I47+Mar!I47+Apr!I47+May!I47+June!I47+July!I47+Aug!I47+Sep!I47+Oct!I47+Nov!I47+Dec!I47</f>
        <v>0</v>
      </c>
      <c r="J47" s="85">
        <f>Jan!J47+Feb!J47+Mar!J47+Apr!J47+May!J47+June!J47+July!J47+Aug!J47+Sep!J47+Oct!J47+Nov!J47+Dec!J47</f>
        <v>0</v>
      </c>
      <c r="K47" s="85">
        <f>Jan!K47+Feb!K47+Mar!K47+Apr!K47+May!K47+June!K47+July!K47+Aug!K47+Sep!K47+Oct!K47+Nov!K47+Dec!K47</f>
        <v>0</v>
      </c>
      <c r="L47" s="85">
        <f>Jan!L47+Feb!L47+Mar!L47+Apr!L47+May!L47+June!L47+July!L47+Aug!L47+Sep!L47+Oct!L47+Nov!L47+Dec!L47</f>
        <v>61424</v>
      </c>
      <c r="M47" s="85">
        <f>Jan!M47+Feb!M47+Mar!M47+Apr!M47+May!M47+June!M47+July!M47+Aug!M47+Sep!M47+Oct!M47+Nov!M47+Dec!M47</f>
        <v>3303</v>
      </c>
      <c r="N47" s="85">
        <f>Jan!N47+Feb!N47+Mar!N47+Apr!N47+May!N47+June!N47+July!N47+Aug!N47+Sep!N47+Oct!N47+Nov!N47+Dec!N47</f>
        <v>29</v>
      </c>
      <c r="O47" s="85">
        <f>Jan!O47+Feb!O47+Mar!O47+Apr!O47+May!O47+June!O47+July!O47+Aug!O47+Sep!O47+Oct!O47+Nov!O47+Dec!O47</f>
        <v>0</v>
      </c>
      <c r="P47" s="85">
        <f>Jan!P47+Feb!P47+Mar!P47+Apr!P47+May!P47+June!P47+July!P47+Aug!P47+Sep!P47+Oct!P47+Nov!P47+Dec!P47</f>
        <v>155</v>
      </c>
      <c r="Q47" s="85">
        <f>Jan!Q47+Feb!Q47+Mar!Q47+Apr!Q47+May!Q47+June!Q47+July!Q47+Aug!Q47+Sep!Q47+Oct!Q47+Nov!Q47+Dec!Q47</f>
        <v>220</v>
      </c>
      <c r="R47" s="85">
        <f>Jan!R47+Feb!R47+Mar!R47+Apr!R47+May!R47+June!R47+July!R47+Aug!R47+Sep!R47+Oct!R47+Nov!R47+Dec!R47</f>
        <v>0</v>
      </c>
      <c r="S47" s="86">
        <f>Jan!S47+Feb!S47+Mar!S47+Apr!S47+May!S47+June!S47+July!S47+Aug!S47+Sep!S47+Oct!S47+Nov!S47+Dec!S47</f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f>Jan!G48+Feb!G48+Mar!G48+Apr!G48+May!G48+June!G48+July!G48+Aug!G48+Sep!G48+Oct!G48+Nov!G48+Dec!G48</f>
        <v>27470</v>
      </c>
      <c r="H48" s="83">
        <f>Jan!H48+Feb!H48+Mar!H48+Apr!H48+May!H48+June!H48+July!H48+Aug!H48+Sep!H48+Oct!H48+Nov!H48+Dec!H48</f>
        <v>0</v>
      </c>
      <c r="I48" s="84">
        <f>Jan!I48+Feb!I48+Mar!I48+Apr!I48+May!I48+June!I48+July!I48+Aug!I48+Sep!I48+Oct!I48+Nov!I48+Dec!I48</f>
        <v>0</v>
      </c>
      <c r="J48" s="85">
        <f>Jan!J48+Feb!J48+Mar!J48+Apr!J48+May!J48+June!J48+July!J48+Aug!J48+Sep!J48+Oct!J48+Nov!J48+Dec!J48</f>
        <v>0</v>
      </c>
      <c r="K48" s="85">
        <f>Jan!K48+Feb!K48+Mar!K48+Apr!K48+May!K48+June!K48+July!K48+Aug!K48+Sep!K48+Oct!K48+Nov!K48+Dec!K48</f>
        <v>0</v>
      </c>
      <c r="L48" s="85">
        <f>Jan!L48+Feb!L48+Mar!L48+Apr!L48+May!L48+June!L48+July!L48+Aug!L48+Sep!L48+Oct!L48+Nov!L48+Dec!L48</f>
        <v>23326</v>
      </c>
      <c r="M48" s="85">
        <f>Jan!M48+Feb!M48+Mar!M48+Apr!M48+May!M48+June!M48+July!M48+Aug!M48+Sep!M48+Oct!M48+Nov!M48+Dec!M48</f>
        <v>2959</v>
      </c>
      <c r="N48" s="85">
        <f>Jan!N48+Feb!N48+Mar!N48+Apr!N48+May!N48+June!N48+July!N48+Aug!N48+Sep!N48+Oct!N48+Nov!N48+Dec!N48</f>
        <v>125</v>
      </c>
      <c r="O48" s="85">
        <f>Jan!O48+Feb!O48+Mar!O48+Apr!O48+May!O48+June!O48+July!O48+Aug!O48+Sep!O48+Oct!O48+Nov!O48+Dec!O48</f>
        <v>0</v>
      </c>
      <c r="P48" s="85">
        <f>Jan!P48+Feb!P48+Mar!P48+Apr!P48+May!P48+June!P48+July!P48+Aug!P48+Sep!P48+Oct!P48+Nov!P48+Dec!P48</f>
        <v>1060</v>
      </c>
      <c r="Q48" s="85">
        <f>Jan!Q48+Feb!Q48+Mar!Q48+Apr!Q48+May!Q48+June!Q48+July!Q48+Aug!Q48+Sep!Q48+Oct!Q48+Nov!Q48+Dec!Q48</f>
        <v>0</v>
      </c>
      <c r="R48" s="85">
        <f>Jan!R48+Feb!R48+Mar!R48+Apr!R48+May!R48+June!R48+July!R48+Aug!R48+Sep!R48+Oct!R48+Nov!R48+Dec!R48</f>
        <v>0</v>
      </c>
      <c r="S48" s="86">
        <f>Jan!S48+Feb!S48+Mar!S48+Apr!S48+May!S48+June!S48+July!S48+Aug!S48+Sep!S48+Oct!S48+Nov!S48+Dec!S48</f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f>Jan!G49+Feb!G49+Mar!G49+Apr!G49+May!G49+June!G49+July!G49+Aug!G49+Sep!G49+Oct!G49+Nov!G49+Dec!G49</f>
        <v>190111</v>
      </c>
      <c r="H49" s="90">
        <f>Jan!H49+Feb!H49+Mar!H49+Apr!H49+May!H49+June!H49+July!H49+Aug!H49+Sep!H49+Oct!H49+Nov!H49+Dec!H49</f>
        <v>0</v>
      </c>
      <c r="I49" s="91">
        <f>Jan!I49+Feb!I49+Mar!I49+Apr!I49+May!I49+June!I49+July!I49+Aug!I49+Sep!I49+Oct!I49+Nov!I49+Dec!I49</f>
        <v>0</v>
      </c>
      <c r="J49" s="92">
        <f>Jan!J49+Feb!J49+Mar!J49+Apr!J49+May!J49+June!J49+July!J49+Aug!J49+Sep!J49+Oct!J49+Nov!J49+Dec!J49</f>
        <v>0</v>
      </c>
      <c r="K49" s="92">
        <f>Jan!K49+Feb!K49+Mar!K49+Apr!K49+May!K49+June!K49+July!K49+Aug!K49+Sep!K49+Oct!K49+Nov!K49+Dec!K49</f>
        <v>0</v>
      </c>
      <c r="L49" s="92">
        <f>Jan!L49+Feb!L49+Mar!L49+Apr!L49+May!L49+June!L49+July!L49+Aug!L49+Sep!L49+Oct!L49+Nov!L49+Dec!L49</f>
        <v>149677</v>
      </c>
      <c r="M49" s="92">
        <f>Jan!M49+Feb!M49+Mar!M49+Apr!M49+May!M49+June!M49+July!M49+Aug!M49+Sep!M49+Oct!M49+Nov!M49+Dec!M49</f>
        <v>10762</v>
      </c>
      <c r="N49" s="92">
        <f>Jan!N49+Feb!N49+Mar!N49+Apr!N49+May!N49+June!N49+July!N49+Aug!N49+Sep!N49+Oct!N49+Nov!N49+Dec!N49</f>
        <v>3647</v>
      </c>
      <c r="O49" s="92">
        <f>Jan!O49+Feb!O49+Mar!O49+Apr!O49+May!O49+June!O49+July!O49+Aug!O49+Sep!O49+Oct!O49+Nov!O49+Dec!O49</f>
        <v>16560</v>
      </c>
      <c r="P49" s="92">
        <f>Jan!P49+Feb!P49+Mar!P49+Apr!P49+May!P49+June!P49+July!P49+Aug!P49+Sep!P49+Oct!P49+Nov!P49+Dec!P49</f>
        <v>9465</v>
      </c>
      <c r="Q49" s="92">
        <f>Jan!Q49+Feb!Q49+Mar!Q49+Apr!Q49+May!Q49+June!Q49+July!Q49+Aug!Q49+Sep!Q49+Oct!Q49+Nov!Q49+Dec!Q49</f>
        <v>0</v>
      </c>
      <c r="R49" s="92">
        <f>Jan!R49+Feb!R49+Mar!R49+Apr!R49+May!R49+June!R49+July!R49+Aug!R49+Sep!R49+Oct!R49+Nov!R49+Dec!R49</f>
        <v>0</v>
      </c>
      <c r="S49" s="93">
        <f>Jan!S49+Feb!S49+Mar!S49+Apr!S49+May!S49+June!S49+July!S49+Aug!S49+Sep!S49+Oct!S49+Nov!S49+Dec!S49</f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f>Jan!G50+Feb!G50+Mar!G50+Apr!G50+May!G50+June!G50+July!G50+Aug!G50+Sep!G50+Oct!G50+Nov!G50+Dec!G50</f>
        <v>286648</v>
      </c>
      <c r="H50" s="95">
        <f>Jan!H50+Feb!H50+Mar!H50+Apr!H50+May!H50+June!H50+July!H50+Aug!H50+Sep!H50+Oct!H50+Nov!H50+Dec!H50</f>
        <v>0</v>
      </c>
      <c r="I50" s="96">
        <f>Jan!I50+Feb!I50+Mar!I50+Apr!I50+May!I50+June!I50+July!I50+Aug!I50+Sep!I50+Oct!I50+Nov!I50+Dec!I50</f>
        <v>0</v>
      </c>
      <c r="J50" s="97">
        <f>Jan!J50+Feb!J50+Mar!J50+Apr!J50+May!J50+June!J50+July!J50+Aug!J50+Sep!J50+Oct!J50+Nov!J50+Dec!J50</f>
        <v>0</v>
      </c>
      <c r="K50" s="97">
        <f>Jan!K50+Feb!K50+Mar!K50+Apr!K50+May!K50+June!K50+July!K50+Aug!K50+Sep!K50+Oct!K50+Nov!K50+Dec!K50</f>
        <v>0</v>
      </c>
      <c r="L50" s="97">
        <f>Jan!L50+Feb!L50+Mar!L50+Apr!L50+May!L50+June!L50+July!L50+Aug!L50+Sep!L50+Oct!L50+Nov!L50+Dec!L50</f>
        <v>238363</v>
      </c>
      <c r="M50" s="97">
        <f>Jan!M50+Feb!M50+Mar!M50+Apr!M50+May!M50+June!M50+July!M50+Aug!M50+Sep!M50+Oct!M50+Nov!M50+Dec!M50</f>
        <v>17024</v>
      </c>
      <c r="N50" s="97">
        <f>Jan!N50+Feb!N50+Mar!N50+Apr!N50+May!N50+June!N50+July!N50+Aug!N50+Sep!N50+Oct!N50+Nov!N50+Dec!N50</f>
        <v>3801</v>
      </c>
      <c r="O50" s="97">
        <f>Jan!O50+Feb!O50+Mar!O50+Apr!O50+May!O50+June!O50+July!O50+Aug!O50+Sep!O50+Oct!O50+Nov!O50+Dec!O50</f>
        <v>16560</v>
      </c>
      <c r="P50" s="97">
        <f>Jan!P50+Feb!P50+Mar!P50+Apr!P50+May!P50+June!P50+July!P50+Aug!P50+Sep!P50+Oct!P50+Nov!P50+Dec!P50</f>
        <v>10680</v>
      </c>
      <c r="Q50" s="97">
        <f>Jan!Q50+Feb!Q50+Mar!Q50+Apr!Q50+May!Q50+June!Q50+July!Q50+Aug!Q50+Sep!Q50+Oct!Q50+Nov!Q50+Dec!Q50</f>
        <v>220</v>
      </c>
      <c r="R50" s="97">
        <f>Jan!R50+Feb!R50+Mar!R50+Apr!R50+May!R50+June!R50+July!R50+Aug!R50+Sep!R50+Oct!R50+Nov!R50+Dec!R50</f>
        <v>0</v>
      </c>
      <c r="S50" s="98">
        <f>Jan!S50+Feb!S50+Mar!S50+Apr!S50+May!S50+June!S50+July!S50+Aug!S50+Sep!S50+Oct!S50+Nov!S50+Dec!S50</f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f>Jan!G51+Feb!G51+Mar!G51+Apr!G51+May!G51+June!G51+July!G51+Aug!G51+Sep!G51+Oct!G51+Nov!G51+Dec!G51</f>
        <v>7</v>
      </c>
      <c r="H51" s="83">
        <f>Jan!H51+Feb!H51+Mar!H51+Apr!H51+May!H51+June!H51+July!H51+Aug!H51+Sep!H51+Oct!H51+Nov!H51+Dec!H51</f>
        <v>0</v>
      </c>
      <c r="I51" s="84">
        <f>Jan!I51+Feb!I51+Mar!I51+Apr!I51+May!I51+June!I51+July!I51+Aug!I51+Sep!I51+Oct!I51+Nov!I51+Dec!I51</f>
        <v>0</v>
      </c>
      <c r="J51" s="85">
        <f>Jan!J51+Feb!J51+Mar!J51+Apr!J51+May!J51+June!J51+July!J51+Aug!J51+Sep!J51+Oct!J51+Nov!J51+Dec!J51</f>
        <v>3</v>
      </c>
      <c r="K51" s="85">
        <f>Jan!K51+Feb!K51+Mar!K51+Apr!K51+May!K51+June!K51+July!K51+Aug!K51+Sep!K51+Oct!K51+Nov!K51+Dec!K51</f>
        <v>0</v>
      </c>
      <c r="L51" s="85">
        <f>Jan!L51+Feb!L51+Mar!L51+Apr!L51+May!L51+June!L51+July!L51+Aug!L51+Sep!L51+Oct!L51+Nov!L51+Dec!L51</f>
        <v>0</v>
      </c>
      <c r="M51" s="85">
        <f>Jan!M51+Feb!M51+Mar!M51+Apr!M51+May!M51+June!M51+July!M51+Aug!M51+Sep!M51+Oct!M51+Nov!M51+Dec!M51</f>
        <v>0</v>
      </c>
      <c r="N51" s="85">
        <f>Jan!N51+Feb!N51+Mar!N51+Apr!N51+May!N51+June!N51+July!N51+Aug!N51+Sep!N51+Oct!N51+Nov!N51+Dec!N51</f>
        <v>2</v>
      </c>
      <c r="O51" s="85">
        <f>Jan!O51+Feb!O51+Mar!O51+Apr!O51+May!O51+June!O51+July!O51+Aug!O51+Sep!O51+Oct!O51+Nov!O51+Dec!O51</f>
        <v>0</v>
      </c>
      <c r="P51" s="85">
        <f>Jan!P51+Feb!P51+Mar!P51+Apr!P51+May!P51+June!P51+July!P51+Aug!P51+Sep!P51+Oct!P51+Nov!P51+Dec!P51</f>
        <v>2</v>
      </c>
      <c r="Q51" s="85">
        <f>Jan!Q51+Feb!Q51+Mar!Q51+Apr!Q51+May!Q51+June!Q51+July!Q51+Aug!Q51+Sep!Q51+Oct!Q51+Nov!Q51+Dec!Q51</f>
        <v>0</v>
      </c>
      <c r="R51" s="85">
        <f>Jan!R51+Feb!R51+Mar!R51+Apr!R51+May!R51+June!R51+July!R51+Aug!R51+Sep!R51+Oct!R51+Nov!R51+Dec!R51</f>
        <v>0</v>
      </c>
      <c r="S51" s="86">
        <f>Jan!S51+Feb!S51+Mar!S51+Apr!S51+May!S51+June!S51+July!S51+Aug!S51+Sep!S51+Oct!S51+Nov!S51+Dec!S51</f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f>Jan!G52+Feb!G52+Mar!G52+Apr!G52+May!G52+June!G52+July!G52+Aug!G52+Sep!G52+Oct!G52+Nov!G52+Dec!G52</f>
        <v>81457</v>
      </c>
      <c r="H52" s="83">
        <f>Jan!H52+Feb!H52+Mar!H52+Apr!H52+May!H52+June!H52+July!H52+Aug!H52+Sep!H52+Oct!H52+Nov!H52+Dec!H52</f>
        <v>0</v>
      </c>
      <c r="I52" s="84">
        <f>Jan!I52+Feb!I52+Mar!I52+Apr!I52+May!I52+June!I52+July!I52+Aug!I52+Sep!I52+Oct!I52+Nov!I52+Dec!I52</f>
        <v>406</v>
      </c>
      <c r="J52" s="85">
        <f>Jan!J52+Feb!J52+Mar!J52+Apr!J52+May!J52+June!J52+July!J52+Aug!J52+Sep!J52+Oct!J52+Nov!J52+Dec!J52</f>
        <v>28</v>
      </c>
      <c r="K52" s="85">
        <f>Jan!K52+Feb!K52+Mar!K52+Apr!K52+May!K52+June!K52+July!K52+Aug!K52+Sep!K52+Oct!K52+Nov!K52+Dec!K52</f>
        <v>56612</v>
      </c>
      <c r="L52" s="85">
        <f>Jan!L52+Feb!L52+Mar!L52+Apr!L52+May!L52+June!L52+July!L52+Aug!L52+Sep!L52+Oct!L52+Nov!L52+Dec!L52</f>
        <v>0</v>
      </c>
      <c r="M52" s="85">
        <f>Jan!M52+Feb!M52+Mar!M52+Apr!M52+May!M52+June!M52+July!M52+Aug!M52+Sep!M52+Oct!M52+Nov!M52+Dec!M52</f>
        <v>8</v>
      </c>
      <c r="N52" s="85">
        <f>Jan!N52+Feb!N52+Mar!N52+Apr!N52+May!N52+June!N52+July!N52+Aug!N52+Sep!N52+Oct!N52+Nov!N52+Dec!N52</f>
        <v>18077</v>
      </c>
      <c r="O52" s="85">
        <f>Jan!O52+Feb!O52+Mar!O52+Apr!O52+May!O52+June!O52+July!O52+Aug!O52+Sep!O52+Oct!O52+Nov!O52+Dec!O52</f>
        <v>6243</v>
      </c>
      <c r="P52" s="85">
        <f>Jan!P52+Feb!P52+Mar!P52+Apr!P52+May!P52+June!P52+July!P52+Aug!P52+Sep!P52+Oct!P52+Nov!P52+Dec!P52</f>
        <v>81</v>
      </c>
      <c r="Q52" s="85">
        <f>Jan!Q52+Feb!Q52+Mar!Q52+Apr!Q52+May!Q52+June!Q52+July!Q52+Aug!Q52+Sep!Q52+Oct!Q52+Nov!Q52+Dec!Q52</f>
        <v>2</v>
      </c>
      <c r="R52" s="85">
        <f>Jan!R52+Feb!R52+Mar!R52+Apr!R52+May!R52+June!R52+July!R52+Aug!R52+Sep!R52+Oct!R52+Nov!R52+Dec!R52</f>
        <v>0</v>
      </c>
      <c r="S52" s="86">
        <f>Jan!S52+Feb!S52+Mar!S52+Apr!S52+May!S52+June!S52+July!S52+Aug!S52+Sep!S52+Oct!S52+Nov!S52+Dec!S52</f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f>Jan!G53+Feb!G53+Mar!G53+Apr!G53+May!G53+June!G53+July!G53+Aug!G53+Sep!G53+Oct!G53+Nov!G53+Dec!G53</f>
        <v>183459</v>
      </c>
      <c r="H53" s="90">
        <f>Jan!H53+Feb!H53+Mar!H53+Apr!H53+May!H53+June!H53+July!H53+Aug!H53+Sep!H53+Oct!H53+Nov!H53+Dec!H53</f>
        <v>0</v>
      </c>
      <c r="I53" s="91">
        <f>Jan!I53+Feb!I53+Mar!I53+Apr!I53+May!I53+June!I53+July!I53+Aug!I53+Sep!I53+Oct!I53+Nov!I53+Dec!I53</f>
        <v>140108</v>
      </c>
      <c r="J53" s="92">
        <f>Jan!J53+Feb!J53+Mar!J53+Apr!J53+May!J53+June!J53+July!J53+Aug!J53+Sep!J53+Oct!J53+Nov!J53+Dec!J53</f>
        <v>13984</v>
      </c>
      <c r="K53" s="92">
        <f>Jan!K53+Feb!K53+Mar!K53+Apr!K53+May!K53+June!K53+July!K53+Aug!K53+Sep!K53+Oct!K53+Nov!K53+Dec!K53</f>
        <v>14763</v>
      </c>
      <c r="L53" s="92">
        <f>Jan!L53+Feb!L53+Mar!L53+Apr!L53+May!L53+June!L53+July!L53+Aug!L53+Sep!L53+Oct!L53+Nov!L53+Dec!L53</f>
        <v>468</v>
      </c>
      <c r="M53" s="92">
        <f>Jan!M53+Feb!M53+Mar!M53+Apr!M53+May!M53+June!M53+July!M53+Aug!M53+Sep!M53+Oct!M53+Nov!M53+Dec!M53</f>
        <v>7</v>
      </c>
      <c r="N53" s="92">
        <f>Jan!N53+Feb!N53+Mar!N53+Apr!N53+May!N53+June!N53+July!N53+Aug!N53+Sep!N53+Oct!N53+Nov!N53+Dec!N53</f>
        <v>975</v>
      </c>
      <c r="O53" s="92">
        <f>Jan!O53+Feb!O53+Mar!O53+Apr!O53+May!O53+June!O53+July!O53+Aug!O53+Sep!O53+Oct!O53+Nov!O53+Dec!O53</f>
        <v>6259</v>
      </c>
      <c r="P53" s="92">
        <f>Jan!P53+Feb!P53+Mar!P53+Apr!P53+May!P53+June!P53+July!P53+Aug!P53+Sep!P53+Oct!P53+Nov!P53+Dec!P53</f>
        <v>246</v>
      </c>
      <c r="Q53" s="92">
        <f>Jan!Q53+Feb!Q53+Mar!Q53+Apr!Q53+May!Q53+June!Q53+July!Q53+Aug!Q53+Sep!Q53+Oct!Q53+Nov!Q53+Dec!Q53</f>
        <v>6649</v>
      </c>
      <c r="R53" s="92">
        <f>Jan!R53+Feb!R53+Mar!R53+Apr!R53+May!R53+June!R53+July!R53+Aug!R53+Sep!R53+Oct!R53+Nov!R53+Dec!R53</f>
        <v>0</v>
      </c>
      <c r="S53" s="93">
        <f>Jan!S53+Feb!S53+Mar!S53+Apr!S53+May!S53+June!S53+July!S53+Aug!S53+Sep!S53+Oct!S53+Nov!S53+Dec!S53</f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f>Jan!G54+Feb!G54+Mar!G54+Apr!G54+May!G54+June!G54+July!G54+Aug!G54+Sep!G54+Oct!G54+Nov!G54+Dec!G54</f>
        <v>264923</v>
      </c>
      <c r="H54" s="95">
        <f>Jan!H54+Feb!H54+Mar!H54+Apr!H54+May!H54+June!H54+July!H54+Aug!H54+Sep!H54+Oct!H54+Nov!H54+Dec!H54</f>
        <v>0</v>
      </c>
      <c r="I54" s="96">
        <f>Jan!I54+Feb!I54+Mar!I54+Apr!I54+May!I54+June!I54+July!I54+Aug!I54+Sep!I54+Oct!I54+Nov!I54+Dec!I54</f>
        <v>140514</v>
      </c>
      <c r="J54" s="97">
        <f>Jan!J54+Feb!J54+Mar!J54+Apr!J54+May!J54+June!J54+July!J54+Aug!J54+Sep!J54+Oct!J54+Nov!J54+Dec!J54</f>
        <v>14015</v>
      </c>
      <c r="K54" s="97">
        <f>Jan!K54+Feb!K54+Mar!K54+Apr!K54+May!K54+June!K54+July!K54+Aug!K54+Sep!K54+Oct!K54+Nov!K54+Dec!K54</f>
        <v>71375</v>
      </c>
      <c r="L54" s="97">
        <f>Jan!L54+Feb!L54+Mar!L54+Apr!L54+May!L54+June!L54+July!L54+Aug!L54+Sep!L54+Oct!L54+Nov!L54+Dec!L54</f>
        <v>468</v>
      </c>
      <c r="M54" s="97">
        <f>Jan!M54+Feb!M54+Mar!M54+Apr!M54+May!M54+June!M54+July!M54+Aug!M54+Sep!M54+Oct!M54+Nov!M54+Dec!M54</f>
        <v>15</v>
      </c>
      <c r="N54" s="97">
        <f>Jan!N54+Feb!N54+Mar!N54+Apr!N54+May!N54+June!N54+July!N54+Aug!N54+Sep!N54+Oct!N54+Nov!N54+Dec!N54</f>
        <v>19054</v>
      </c>
      <c r="O54" s="97">
        <f>Jan!O54+Feb!O54+Mar!O54+Apr!O54+May!O54+June!O54+July!O54+Aug!O54+Sep!O54+Oct!O54+Nov!O54+Dec!O54</f>
        <v>12502</v>
      </c>
      <c r="P54" s="97">
        <f>Jan!P54+Feb!P54+Mar!P54+Apr!P54+May!P54+June!P54+July!P54+Aug!P54+Sep!P54+Oct!P54+Nov!P54+Dec!P54</f>
        <v>329</v>
      </c>
      <c r="Q54" s="97">
        <f>Jan!Q54+Feb!Q54+Mar!Q54+Apr!Q54+May!Q54+June!Q54+July!Q54+Aug!Q54+Sep!Q54+Oct!Q54+Nov!Q54+Dec!Q54</f>
        <v>6651</v>
      </c>
      <c r="R54" s="97">
        <f>Jan!R54+Feb!R54+Mar!R54+Apr!R54+May!R54+June!R54+July!R54+Aug!R54+Sep!R54+Oct!R54+Nov!R54+Dec!R54</f>
        <v>0</v>
      </c>
      <c r="S54" s="98">
        <f>Jan!S54+Feb!S54+Mar!S54+Apr!S54+May!S54+June!S54+July!S54+Aug!S54+Sep!S54+Oct!S54+Nov!S54+Dec!S54</f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f>Jan!G55+Feb!G55+Mar!G55+Apr!G55+May!G55+June!G55+July!G55+Aug!G55+Sep!G55+Oct!G55+Nov!G55+Dec!G55</f>
        <v>1</v>
      </c>
      <c r="H55" s="100">
        <f>Jan!H55+Feb!H55+Mar!H55+Apr!H55+May!H55+June!H55+July!H55+Aug!H55+Sep!H55+Oct!H55+Nov!H55+Dec!H55</f>
        <v>0</v>
      </c>
      <c r="I55" s="101">
        <f>Jan!I55+Feb!I55+Mar!I55+Apr!I55+May!I55+June!I55+July!I55+Aug!I55+Sep!I55+Oct!I55+Nov!I55+Dec!I55</f>
        <v>0</v>
      </c>
      <c r="J55" s="102">
        <f>Jan!J55+Feb!J55+Mar!J55+Apr!J55+May!J55+June!J55+July!J55+Aug!J55+Sep!J55+Oct!J55+Nov!J55+Dec!J55</f>
        <v>0</v>
      </c>
      <c r="K55" s="102">
        <f>Jan!K55+Feb!K55+Mar!K55+Apr!K55+May!K55+June!K55+July!K55+Aug!K55+Sep!K55+Oct!K55+Nov!K55+Dec!K55</f>
        <v>0</v>
      </c>
      <c r="L55" s="102">
        <f>Jan!L55+Feb!L55+Mar!L55+Apr!L55+May!L55+June!L55+July!L55+Aug!L55+Sep!L55+Oct!L55+Nov!L55+Dec!L55</f>
        <v>0</v>
      </c>
      <c r="M55" s="102">
        <f>Jan!M55+Feb!M55+Mar!M55+Apr!M55+May!M55+June!M55+July!M55+Aug!M55+Sep!M55+Oct!M55+Nov!M55+Dec!M55</f>
        <v>1</v>
      </c>
      <c r="N55" s="102">
        <f>Jan!N55+Feb!N55+Mar!N55+Apr!N55+May!N55+June!N55+July!N55+Aug!N55+Sep!N55+Oct!N55+Nov!N55+Dec!N55</f>
        <v>0</v>
      </c>
      <c r="O55" s="102">
        <f>Jan!O55+Feb!O55+Mar!O55+Apr!O55+May!O55+June!O55+July!O55+Aug!O55+Sep!O55+Oct!O55+Nov!O55+Dec!O55</f>
        <v>0</v>
      </c>
      <c r="P55" s="102">
        <f>Jan!P55+Feb!P55+Mar!P55+Apr!P55+May!P55+June!P55+July!P55+Aug!P55+Sep!P55+Oct!P55+Nov!P55+Dec!P55</f>
        <v>0</v>
      </c>
      <c r="Q55" s="102">
        <f>Jan!Q55+Feb!Q55+Mar!Q55+Apr!Q55+May!Q55+June!Q55+July!Q55+Aug!Q55+Sep!Q55+Oct!Q55+Nov!Q55+Dec!Q55</f>
        <v>0</v>
      </c>
      <c r="R55" s="102">
        <f>Jan!R55+Feb!R55+Mar!R55+Apr!R55+May!R55+June!R55+July!R55+Aug!R55+Sep!R55+Oct!R55+Nov!R55+Dec!R55</f>
        <v>0</v>
      </c>
      <c r="S55" s="103">
        <f>Jan!S55+Feb!S55+Mar!S55+Apr!S55+May!S55+June!S55+July!S55+Aug!S55+Sep!S55+Oct!S55+Nov!S55+Dec!S55</f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f>Jan!G56+Feb!G56+Mar!G56+Apr!G56+May!G56+June!G56+July!G56+Aug!G56+Sep!G56+Oct!G56+Nov!G56+Dec!G56</f>
        <v>1</v>
      </c>
      <c r="H56" s="95">
        <f>Jan!H56+Feb!H56+Mar!H56+Apr!H56+May!H56+June!H56+July!H56+Aug!H56+Sep!H56+Oct!H56+Nov!H56+Dec!H56</f>
        <v>0</v>
      </c>
      <c r="I56" s="96">
        <f>Jan!I56+Feb!I56+Mar!I56+Apr!I56+May!I56+June!I56+July!I56+Aug!I56+Sep!I56+Oct!I56+Nov!I56+Dec!I56</f>
        <v>0</v>
      </c>
      <c r="J56" s="97">
        <f>Jan!J56+Feb!J56+Mar!J56+Apr!J56+May!J56+June!J56+July!J56+Aug!J56+Sep!J56+Oct!J56+Nov!J56+Dec!J56</f>
        <v>0</v>
      </c>
      <c r="K56" s="97">
        <f>Jan!K56+Feb!K56+Mar!K56+Apr!K56+May!K56+June!K56+July!K56+Aug!K56+Sep!K56+Oct!K56+Nov!K56+Dec!K56</f>
        <v>0</v>
      </c>
      <c r="L56" s="97">
        <f>Jan!L56+Feb!L56+Mar!L56+Apr!L56+May!L56+June!L56+July!L56+Aug!L56+Sep!L56+Oct!L56+Nov!L56+Dec!L56</f>
        <v>0</v>
      </c>
      <c r="M56" s="97">
        <f>Jan!M56+Feb!M56+Mar!M56+Apr!M56+May!M56+June!M56+July!M56+Aug!M56+Sep!M56+Oct!M56+Nov!M56+Dec!M56</f>
        <v>1</v>
      </c>
      <c r="N56" s="97">
        <f>Jan!N56+Feb!N56+Mar!N56+Apr!N56+May!N56+June!N56+July!N56+Aug!N56+Sep!N56+Oct!N56+Nov!N56+Dec!N56</f>
        <v>0</v>
      </c>
      <c r="O56" s="97">
        <f>Jan!O56+Feb!O56+Mar!O56+Apr!O56+May!O56+June!O56+July!O56+Aug!O56+Sep!O56+Oct!O56+Nov!O56+Dec!O56</f>
        <v>0</v>
      </c>
      <c r="P56" s="97">
        <f>Jan!P56+Feb!P56+Mar!P56+Apr!P56+May!P56+June!P56+July!P56+Aug!P56+Sep!P56+Oct!P56+Nov!P56+Dec!P56</f>
        <v>0</v>
      </c>
      <c r="Q56" s="97">
        <f>Jan!Q56+Feb!Q56+Mar!Q56+Apr!Q56+May!Q56+June!Q56+July!Q56+Aug!Q56+Sep!Q56+Oct!Q56+Nov!Q56+Dec!Q56</f>
        <v>0</v>
      </c>
      <c r="R56" s="97">
        <f>Jan!R56+Feb!R56+Mar!R56+Apr!R56+May!R56+June!R56+July!R56+Aug!R56+Sep!R56+Oct!R56+Nov!R56+Dec!R56</f>
        <v>0</v>
      </c>
      <c r="S56" s="98">
        <f>Jan!S56+Feb!S56+Mar!S56+Apr!S56+May!S56+June!S56+July!S56+Aug!S56+Sep!S56+Oct!S56+Nov!S56+Dec!S56</f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f>Jan!G57+Feb!G57+Mar!G57+Apr!G57+May!G57+June!G57+July!G57+Aug!G57+Sep!G57+Oct!G57+Nov!G57+Dec!G57</f>
        <v>64439</v>
      </c>
      <c r="H57" s="83">
        <f>Jan!H57+Feb!H57+Mar!H57+Apr!H57+May!H57+June!H57+July!H57+Aug!H57+Sep!H57+Oct!H57+Nov!H57+Dec!H57</f>
        <v>0</v>
      </c>
      <c r="I57" s="84">
        <f>Jan!I57+Feb!I57+Mar!I57+Apr!I57+May!I57+June!I57+July!I57+Aug!I57+Sep!I57+Oct!I57+Nov!I57+Dec!I57</f>
        <v>0</v>
      </c>
      <c r="J57" s="85">
        <f>Jan!J57+Feb!J57+Mar!J57+Apr!J57+May!J57+June!J57+July!J57+Aug!J57+Sep!J57+Oct!J57+Nov!J57+Dec!J57</f>
        <v>0</v>
      </c>
      <c r="K57" s="85">
        <f>Jan!K57+Feb!K57+Mar!K57+Apr!K57+May!K57+June!K57+July!K57+Aug!K57+Sep!K57+Oct!K57+Nov!K57+Dec!K57</f>
        <v>0</v>
      </c>
      <c r="L57" s="85">
        <f>Jan!L57+Feb!L57+Mar!L57+Apr!L57+May!L57+June!L57+July!L57+Aug!L57+Sep!L57+Oct!L57+Nov!L57+Dec!L57</f>
        <v>0</v>
      </c>
      <c r="M57" s="85">
        <f>Jan!M57+Feb!M57+Mar!M57+Apr!M57+May!M57+June!M57+July!M57+Aug!M57+Sep!M57+Oct!M57+Nov!M57+Dec!M57</f>
        <v>104</v>
      </c>
      <c r="N57" s="85">
        <f>Jan!N57+Feb!N57+Mar!N57+Apr!N57+May!N57+June!N57+July!N57+Aug!N57+Sep!N57+Oct!N57+Nov!N57+Dec!N57</f>
        <v>26249</v>
      </c>
      <c r="O57" s="85">
        <f>Jan!O57+Feb!O57+Mar!O57+Apr!O57+May!O57+June!O57+July!O57+Aug!O57+Sep!O57+Oct!O57+Nov!O57+Dec!O57</f>
        <v>33682</v>
      </c>
      <c r="P57" s="85">
        <f>Jan!P57+Feb!P57+Mar!P57+Apr!P57+May!P57+June!P57+July!P57+Aug!P57+Sep!P57+Oct!P57+Nov!P57+Dec!P57</f>
        <v>2670</v>
      </c>
      <c r="Q57" s="85">
        <f>Jan!Q57+Feb!Q57+Mar!Q57+Apr!Q57+May!Q57+June!Q57+July!Q57+Aug!Q57+Sep!Q57+Oct!Q57+Nov!Q57+Dec!Q57</f>
        <v>1595</v>
      </c>
      <c r="R57" s="85">
        <f>Jan!R57+Feb!R57+Mar!R57+Apr!R57+May!R57+June!R57+July!R57+Aug!R57+Sep!R57+Oct!R57+Nov!R57+Dec!R57</f>
        <v>0</v>
      </c>
      <c r="S57" s="87">
        <f>Jan!S57+Feb!S57+Mar!S57+Apr!S57+May!S57+June!S57+July!S57+Aug!S57+Sep!S57+Oct!S57+Nov!S57+Dec!S57</f>
        <v>139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f>Jan!G58+Feb!G58+Mar!G58+Apr!G58+May!G58+June!G58+July!G58+Aug!G58+Sep!G58+Oct!G58+Nov!G58+Dec!G58</f>
        <v>9386</v>
      </c>
      <c r="H58" s="83">
        <f>Jan!H58+Feb!H58+Mar!H58+Apr!H58+May!H58+June!H58+July!H58+Aug!H58+Sep!H58+Oct!H58+Nov!H58+Dec!H58</f>
        <v>0</v>
      </c>
      <c r="I58" s="84">
        <f>Jan!I58+Feb!I58+Mar!I58+Apr!I58+May!I58+June!I58+July!I58+Aug!I58+Sep!I58+Oct!I58+Nov!I58+Dec!I58</f>
        <v>0</v>
      </c>
      <c r="J58" s="85">
        <f>Jan!J58+Feb!J58+Mar!J58+Apr!J58+May!J58+June!J58+July!J58+Aug!J58+Sep!J58+Oct!J58+Nov!J58+Dec!J58</f>
        <v>0</v>
      </c>
      <c r="K58" s="85">
        <f>Jan!K58+Feb!K58+Mar!K58+Apr!K58+May!K58+June!K58+July!K58+Aug!K58+Sep!K58+Oct!K58+Nov!K58+Dec!K58</f>
        <v>0</v>
      </c>
      <c r="L58" s="85">
        <f>Jan!L58+Feb!L58+Mar!L58+Apr!L58+May!L58+June!L58+July!L58+Aug!L58+Sep!L58+Oct!L58+Nov!L58+Dec!L58</f>
        <v>0</v>
      </c>
      <c r="M58" s="85">
        <f>Jan!M58+Feb!M58+Mar!M58+Apr!M58+May!M58+June!M58+July!M58+Aug!M58+Sep!M58+Oct!M58+Nov!M58+Dec!M58</f>
        <v>0</v>
      </c>
      <c r="N58" s="85">
        <f>Jan!N58+Feb!N58+Mar!N58+Apr!N58+May!N58+June!N58+July!N58+Aug!N58+Sep!N58+Oct!N58+Nov!N58+Dec!N58</f>
        <v>0</v>
      </c>
      <c r="O58" s="85">
        <f>Jan!O58+Feb!O58+Mar!O58+Apr!O58+May!O58+June!O58+July!O58+Aug!O58+Sep!O58+Oct!O58+Nov!O58+Dec!O58</f>
        <v>0</v>
      </c>
      <c r="P58" s="85">
        <f>Jan!P58+Feb!P58+Mar!P58+Apr!P58+May!P58+June!P58+July!P58+Aug!P58+Sep!P58+Oct!P58+Nov!P58+Dec!P58</f>
        <v>0</v>
      </c>
      <c r="Q58" s="85">
        <f>Jan!Q58+Feb!Q58+Mar!Q58+Apr!Q58+May!Q58+June!Q58+July!Q58+Aug!Q58+Sep!Q58+Oct!Q58+Nov!Q58+Dec!Q58</f>
        <v>0</v>
      </c>
      <c r="R58" s="85">
        <f>Jan!R58+Feb!R58+Mar!R58+Apr!R58+May!R58+June!R58+July!R58+Aug!R58+Sep!R58+Oct!R58+Nov!R58+Dec!R58</f>
        <v>0</v>
      </c>
      <c r="S58" s="87">
        <f>Jan!S58+Feb!S58+Mar!S58+Apr!S58+May!S58+June!S58+July!S58+Aug!S58+Sep!S58+Oct!S58+Nov!S58+Dec!S58</f>
        <v>9386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f>Jan!G59+Feb!G59+Mar!G59+Apr!G59+May!G59+June!G59+July!G59+Aug!G59+Sep!G59+Oct!G59+Nov!G59+Dec!G59</f>
        <v>6525</v>
      </c>
      <c r="H59" s="83">
        <f>Jan!H59+Feb!H59+Mar!H59+Apr!H59+May!H59+June!H59+July!H59+Aug!H59+Sep!H59+Oct!H59+Nov!H59+Dec!H59</f>
        <v>0</v>
      </c>
      <c r="I59" s="84">
        <f>Jan!I59+Feb!I59+Mar!I59+Apr!I59+May!I59+June!I59+July!I59+Aug!I59+Sep!I59+Oct!I59+Nov!I59+Dec!I59</f>
        <v>0</v>
      </c>
      <c r="J59" s="85">
        <f>Jan!J59+Feb!J59+Mar!J59+Apr!J59+May!J59+June!J59+July!J59+Aug!J59+Sep!J59+Oct!J59+Nov!J59+Dec!J59</f>
        <v>0</v>
      </c>
      <c r="K59" s="85">
        <f>Jan!K59+Feb!K59+Mar!K59+Apr!K59+May!K59+June!K59+July!K59+Aug!K59+Sep!K59+Oct!K59+Nov!K59+Dec!K59</f>
        <v>0</v>
      </c>
      <c r="L59" s="85">
        <f>Jan!L59+Feb!L59+Mar!L59+Apr!L59+May!L59+June!L59+July!L59+Aug!L59+Sep!L59+Oct!L59+Nov!L59+Dec!L59</f>
        <v>0</v>
      </c>
      <c r="M59" s="85">
        <f>Jan!M59+Feb!M59+Mar!M59+Apr!M59+May!M59+June!M59+July!M59+Aug!M59+Sep!M59+Oct!M59+Nov!M59+Dec!M59</f>
        <v>0</v>
      </c>
      <c r="N59" s="85">
        <f>Jan!N59+Feb!N59+Mar!N59+Apr!N59+May!N59+June!N59+July!N59+Aug!N59+Sep!N59+Oct!N59+Nov!N59+Dec!N59</f>
        <v>0</v>
      </c>
      <c r="O59" s="85">
        <f>Jan!O59+Feb!O59+Mar!O59+Apr!O59+May!O59+June!O59+July!O59+Aug!O59+Sep!O59+Oct!O59+Nov!O59+Dec!O59</f>
        <v>0</v>
      </c>
      <c r="P59" s="85">
        <f>Jan!P59+Feb!P59+Mar!P59+Apr!P59+May!P59+June!P59+July!P59+Aug!P59+Sep!P59+Oct!P59+Nov!P59+Dec!P59</f>
        <v>0</v>
      </c>
      <c r="Q59" s="85">
        <f>Jan!Q59+Feb!Q59+Mar!Q59+Apr!Q59+May!Q59+June!Q59+July!Q59+Aug!Q59+Sep!Q59+Oct!Q59+Nov!Q59+Dec!Q59</f>
        <v>0</v>
      </c>
      <c r="R59" s="85">
        <f>Jan!R59+Feb!R59+Mar!R59+Apr!R59+May!R59+June!R59+July!R59+Aug!R59+Sep!R59+Oct!R59+Nov!R59+Dec!R59</f>
        <v>0</v>
      </c>
      <c r="S59" s="87">
        <f>Jan!S59+Feb!S59+Mar!S59+Apr!S59+May!S59+June!S59+July!S59+Aug!S59+Sep!S59+Oct!S59+Nov!S59+Dec!S59</f>
        <v>6525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f>Jan!G60+Feb!G60+Mar!G60+Apr!G60+May!G60+June!G60+July!G60+Aug!G60+Sep!G60+Oct!G60+Nov!G60+Dec!G60</f>
        <v>5870</v>
      </c>
      <c r="H60" s="83">
        <f>Jan!H60+Feb!H60+Mar!H60+Apr!H60+May!H60+June!H60+July!H60+Aug!H60+Sep!H60+Oct!H60+Nov!H60+Dec!H60</f>
        <v>0</v>
      </c>
      <c r="I60" s="84">
        <f>Jan!I60+Feb!I60+Mar!I60+Apr!I60+May!I60+June!I60+July!I60+Aug!I60+Sep!I60+Oct!I60+Nov!I60+Dec!I60</f>
        <v>0</v>
      </c>
      <c r="J60" s="85">
        <f>Jan!J60+Feb!J60+Mar!J60+Apr!J60+May!J60+June!J60+July!J60+Aug!J60+Sep!J60+Oct!J60+Nov!J60+Dec!J60</f>
        <v>0</v>
      </c>
      <c r="K60" s="85">
        <f>Jan!K60+Feb!K60+Mar!K60+Apr!K60+May!K60+June!K60+July!K60+Aug!K60+Sep!K60+Oct!K60+Nov!K60+Dec!K60</f>
        <v>0</v>
      </c>
      <c r="L60" s="85">
        <f>Jan!L60+Feb!L60+Mar!L60+Apr!L60+May!L60+June!L60+July!L60+Aug!L60+Sep!L60+Oct!L60+Nov!L60+Dec!L60</f>
        <v>0</v>
      </c>
      <c r="M60" s="85">
        <f>Jan!M60+Feb!M60+Mar!M60+Apr!M60+May!M60+June!M60+July!M60+Aug!M60+Sep!M60+Oct!M60+Nov!M60+Dec!M60</f>
        <v>4100</v>
      </c>
      <c r="N60" s="85">
        <f>Jan!N60+Feb!N60+Mar!N60+Apr!N60+May!N60+June!N60+July!N60+Aug!N60+Sep!N60+Oct!N60+Nov!N60+Dec!N60</f>
        <v>0</v>
      </c>
      <c r="O60" s="85">
        <f>Jan!O60+Feb!O60+Mar!O60+Apr!O60+May!O60+June!O60+July!O60+Aug!O60+Sep!O60+Oct!O60+Nov!O60+Dec!O60</f>
        <v>0</v>
      </c>
      <c r="P60" s="85">
        <f>Jan!P60+Feb!P60+Mar!P60+Apr!P60+May!P60+June!P60+July!P60+Aug!P60+Sep!P60+Oct!P60+Nov!P60+Dec!P60</f>
        <v>0</v>
      </c>
      <c r="Q60" s="85">
        <f>Jan!Q60+Feb!Q60+Mar!Q60+Apr!Q60+May!Q60+June!Q60+July!Q60+Aug!Q60+Sep!Q60+Oct!Q60+Nov!Q60+Dec!Q60</f>
        <v>0</v>
      </c>
      <c r="R60" s="85">
        <f>Jan!R60+Feb!R60+Mar!R60+Apr!R60+May!R60+June!R60+July!R60+Aug!R60+Sep!R60+Oct!R60+Nov!R60+Dec!R60</f>
        <v>0</v>
      </c>
      <c r="S60" s="87">
        <f>Jan!S60+Feb!S60+Mar!S60+Apr!S60+May!S60+June!S60+July!S60+Aug!S60+Sep!S60+Oct!S60+Nov!S60+Dec!S60</f>
        <v>1770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f>Jan!G61+Feb!G61+Mar!G61+Apr!G61+May!G61+June!G61+July!G61+Aug!G61+Sep!G61+Oct!G61+Nov!G61+Dec!G61</f>
        <v>21188</v>
      </c>
      <c r="H61" s="83">
        <f>Jan!H61+Feb!H61+Mar!H61+Apr!H61+May!H61+June!H61+July!H61+Aug!H61+Sep!H61+Oct!H61+Nov!H61+Dec!H61</f>
        <v>0</v>
      </c>
      <c r="I61" s="84">
        <f>Jan!I61+Feb!I61+Mar!I61+Apr!I61+May!I61+June!I61+July!I61+Aug!I61+Sep!I61+Oct!I61+Nov!I61+Dec!I61</f>
        <v>0</v>
      </c>
      <c r="J61" s="85">
        <f>Jan!J61+Feb!J61+Mar!J61+Apr!J61+May!J61+June!J61+July!J61+Aug!J61+Sep!J61+Oct!J61+Nov!J61+Dec!J61</f>
        <v>0</v>
      </c>
      <c r="K61" s="85">
        <f>Jan!K61+Feb!K61+Mar!K61+Apr!K61+May!K61+June!K61+July!K61+Aug!K61+Sep!K61+Oct!K61+Nov!K61+Dec!K61</f>
        <v>0</v>
      </c>
      <c r="L61" s="85">
        <f>Jan!L61+Feb!L61+Mar!L61+Apr!L61+May!L61+June!L61+July!L61+Aug!L61+Sep!L61+Oct!L61+Nov!L61+Dec!L61</f>
        <v>0</v>
      </c>
      <c r="M61" s="85">
        <f>Jan!M61+Feb!M61+Mar!M61+Apr!M61+May!M61+June!M61+July!M61+Aug!M61+Sep!M61+Oct!M61+Nov!M61+Dec!M61</f>
        <v>0</v>
      </c>
      <c r="N61" s="85">
        <f>Jan!N61+Feb!N61+Mar!N61+Apr!N61+May!N61+June!N61+July!N61+Aug!N61+Sep!N61+Oct!N61+Nov!N61+Dec!N61</f>
        <v>0</v>
      </c>
      <c r="O61" s="85">
        <f>Jan!O61+Feb!O61+Mar!O61+Apr!O61+May!O61+June!O61+July!O61+Aug!O61+Sep!O61+Oct!O61+Nov!O61+Dec!O61</f>
        <v>0</v>
      </c>
      <c r="P61" s="85">
        <f>Jan!P61+Feb!P61+Mar!P61+Apr!P61+May!P61+June!P61+July!P61+Aug!P61+Sep!P61+Oct!P61+Nov!P61+Dec!P61</f>
        <v>0</v>
      </c>
      <c r="Q61" s="85">
        <f>Jan!Q61+Feb!Q61+Mar!Q61+Apr!Q61+May!Q61+June!Q61+July!Q61+Aug!Q61+Sep!Q61+Oct!Q61+Nov!Q61+Dec!Q61</f>
        <v>2</v>
      </c>
      <c r="R61" s="85">
        <f>Jan!R61+Feb!R61+Mar!R61+Apr!R61+May!R61+June!R61+July!R61+Aug!R61+Sep!R61+Oct!R61+Nov!R61+Dec!R61</f>
        <v>0</v>
      </c>
      <c r="S61" s="87">
        <f>Jan!S61+Feb!S61+Mar!S61+Apr!S61+May!S61+June!S61+July!S61+Aug!S61+Sep!S61+Oct!S61+Nov!S61+Dec!S61</f>
        <v>21186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f>Jan!G62+Feb!G62+Mar!G62+Apr!G62+May!G62+June!G62+July!G62+Aug!G62+Sep!G62+Oct!G62+Nov!G62+Dec!G62</f>
        <v>42109</v>
      </c>
      <c r="H62" s="83">
        <f>Jan!H62+Feb!H62+Mar!H62+Apr!H62+May!H62+June!H62+July!H62+Aug!H62+Sep!H62+Oct!H62+Nov!H62+Dec!H62</f>
        <v>0</v>
      </c>
      <c r="I62" s="84">
        <f>Jan!I62+Feb!I62+Mar!I62+Apr!I62+May!I62+June!I62+July!I62+Aug!I62+Sep!I62+Oct!I62+Nov!I62+Dec!I62</f>
        <v>0</v>
      </c>
      <c r="J62" s="85">
        <f>Jan!J62+Feb!J62+Mar!J62+Apr!J62+May!J62+June!J62+July!J62+Aug!J62+Sep!J62+Oct!J62+Nov!J62+Dec!J62</f>
        <v>0</v>
      </c>
      <c r="K62" s="85">
        <f>Jan!K62+Feb!K62+Mar!K62+Apr!K62+May!K62+June!K62+July!K62+Aug!K62+Sep!K62+Oct!K62+Nov!K62+Dec!K62</f>
        <v>13697</v>
      </c>
      <c r="L62" s="85">
        <f>Jan!L62+Feb!L62+Mar!L62+Apr!L62+May!L62+June!L62+July!L62+Aug!L62+Sep!L62+Oct!L62+Nov!L62+Dec!L62</f>
        <v>0</v>
      </c>
      <c r="M62" s="85">
        <f>Jan!M62+Feb!M62+Mar!M62+Apr!M62+May!M62+June!M62+July!M62+Aug!M62+Sep!M62+Oct!M62+Nov!M62+Dec!M62</f>
        <v>16</v>
      </c>
      <c r="N62" s="85">
        <f>Jan!N62+Feb!N62+Mar!N62+Apr!N62+May!N62+June!N62+July!N62+Aug!N62+Sep!N62+Oct!N62+Nov!N62+Dec!N62</f>
        <v>13878</v>
      </c>
      <c r="O62" s="85">
        <f>Jan!O62+Feb!O62+Mar!O62+Apr!O62+May!O62+June!O62+July!O62+Aug!O62+Sep!O62+Oct!O62+Nov!O62+Dec!O62</f>
        <v>5672</v>
      </c>
      <c r="P62" s="85">
        <f>Jan!P62+Feb!P62+Mar!P62+Apr!P62+May!P62+June!P62+July!P62+Aug!P62+Sep!P62+Oct!P62+Nov!P62+Dec!P62</f>
        <v>1448</v>
      </c>
      <c r="Q62" s="85">
        <f>Jan!Q62+Feb!Q62+Mar!Q62+Apr!Q62+May!Q62+June!Q62+July!Q62+Aug!Q62+Sep!Q62+Oct!Q62+Nov!Q62+Dec!Q62</f>
        <v>6437</v>
      </c>
      <c r="R62" s="85">
        <f>Jan!R62+Feb!R62+Mar!R62+Apr!R62+May!R62+June!R62+July!R62+Aug!R62+Sep!R62+Oct!R62+Nov!R62+Dec!R62</f>
        <v>0</v>
      </c>
      <c r="S62" s="87">
        <f>Jan!S62+Feb!S62+Mar!S62+Apr!S62+May!S62+June!S62+July!S62+Aug!S62+Sep!S62+Oct!S62+Nov!S62+Dec!S62</f>
        <v>961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f>Jan!G63+Feb!G63+Mar!G63+Apr!G63+May!G63+June!G63+July!G63+Aug!G63+Sep!G63+Oct!G63+Nov!G63+Dec!G63</f>
        <v>59273</v>
      </c>
      <c r="H63" s="83">
        <f>Jan!H63+Feb!H63+Mar!H63+Apr!H63+May!H63+June!H63+July!H63+Aug!H63+Sep!H63+Oct!H63+Nov!H63+Dec!H63</f>
        <v>0</v>
      </c>
      <c r="I63" s="84">
        <f>Jan!I63+Feb!I63+Mar!I63+Apr!I63+May!I63+June!I63+July!I63+Aug!I63+Sep!I63+Oct!I63+Nov!I63+Dec!I63</f>
        <v>0</v>
      </c>
      <c r="J63" s="85">
        <f>Jan!J63+Feb!J63+Mar!J63+Apr!J63+May!J63+June!J63+July!J63+Aug!J63+Sep!J63+Oct!J63+Nov!J63+Dec!J63</f>
        <v>0</v>
      </c>
      <c r="K63" s="85">
        <f>Jan!K63+Feb!K63+Mar!K63+Apr!K63+May!K63+June!K63+July!K63+Aug!K63+Sep!K63+Oct!K63+Nov!K63+Dec!K63</f>
        <v>15844</v>
      </c>
      <c r="L63" s="85">
        <f>Jan!L63+Feb!L63+Mar!L63+Apr!L63+May!L63+June!L63+July!L63+Aug!L63+Sep!L63+Oct!L63+Nov!L63+Dec!L63</f>
        <v>0</v>
      </c>
      <c r="M63" s="85">
        <f>Jan!M63+Feb!M63+Mar!M63+Apr!M63+May!M63+June!M63+July!M63+Aug!M63+Sep!M63+Oct!M63+Nov!M63+Dec!M63</f>
        <v>0</v>
      </c>
      <c r="N63" s="85">
        <f>Jan!N63+Feb!N63+Mar!N63+Apr!N63+May!N63+June!N63+July!N63+Aug!N63+Sep!N63+Oct!N63+Nov!N63+Dec!N63</f>
        <v>10437</v>
      </c>
      <c r="O63" s="85">
        <f>Jan!O63+Feb!O63+Mar!O63+Apr!O63+May!O63+June!O63+July!O63+Aug!O63+Sep!O63+Oct!O63+Nov!O63+Dec!O63</f>
        <v>11021</v>
      </c>
      <c r="P63" s="85">
        <f>Jan!P63+Feb!P63+Mar!P63+Apr!P63+May!P63+June!P63+July!P63+Aug!P63+Sep!P63+Oct!P63+Nov!P63+Dec!P63</f>
        <v>1808</v>
      </c>
      <c r="Q63" s="85">
        <f>Jan!Q63+Feb!Q63+Mar!Q63+Apr!Q63+May!Q63+June!Q63+July!Q63+Aug!Q63+Sep!Q63+Oct!Q63+Nov!Q63+Dec!Q63</f>
        <v>775</v>
      </c>
      <c r="R63" s="85">
        <f>Jan!R63+Feb!R63+Mar!R63+Apr!R63+May!R63+June!R63+July!R63+Aug!R63+Sep!R63+Oct!R63+Nov!R63+Dec!R63</f>
        <v>0</v>
      </c>
      <c r="S63" s="87">
        <f>Jan!S63+Feb!S63+Mar!S63+Apr!S63+May!S63+June!S63+July!S63+Aug!S63+Sep!S63+Oct!S63+Nov!S63+Dec!S63</f>
        <v>19388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f>Jan!G64+Feb!G64+Mar!G64+Apr!G64+May!G64+June!G64+July!G64+Aug!G64+Sep!G64+Oct!G64+Nov!G64+Dec!G64</f>
        <v>1771</v>
      </c>
      <c r="H64" s="83">
        <f>Jan!H64+Feb!H64+Mar!H64+Apr!H64+May!H64+June!H64+July!H64+Aug!H64+Sep!H64+Oct!H64+Nov!H64+Dec!H64</f>
        <v>0</v>
      </c>
      <c r="I64" s="84">
        <f>Jan!I64+Feb!I64+Mar!I64+Apr!I64+May!I64+June!I64+July!I64+Aug!I64+Sep!I64+Oct!I64+Nov!I64+Dec!I64</f>
        <v>0</v>
      </c>
      <c r="J64" s="85">
        <f>Jan!J64+Feb!J64+Mar!J64+Apr!J64+May!J64+June!J64+July!J64+Aug!J64+Sep!J64+Oct!J64+Nov!J64+Dec!J64</f>
        <v>0</v>
      </c>
      <c r="K64" s="85">
        <f>Jan!K64+Feb!K64+Mar!K64+Apr!K64+May!K64+June!K64+July!K64+Aug!K64+Sep!K64+Oct!K64+Nov!K64+Dec!K64</f>
        <v>0</v>
      </c>
      <c r="L64" s="85">
        <f>Jan!L64+Feb!L64+Mar!L64+Apr!L64+May!L64+June!L64+July!L64+Aug!L64+Sep!L64+Oct!L64+Nov!L64+Dec!L64</f>
        <v>0</v>
      </c>
      <c r="M64" s="85">
        <f>Jan!M64+Feb!M64+Mar!M64+Apr!M64+May!M64+June!M64+July!M64+Aug!M64+Sep!M64+Oct!M64+Nov!M64+Dec!M64</f>
        <v>0</v>
      </c>
      <c r="N64" s="85">
        <f>Jan!N64+Feb!N64+Mar!N64+Apr!N64+May!N64+June!N64+July!N64+Aug!N64+Sep!N64+Oct!N64+Nov!N64+Dec!N64</f>
        <v>0</v>
      </c>
      <c r="O64" s="85">
        <f>Jan!O64+Feb!O64+Mar!O64+Apr!O64+May!O64+June!O64+July!O64+Aug!O64+Sep!O64+Oct!O64+Nov!O64+Dec!O64</f>
        <v>0</v>
      </c>
      <c r="P64" s="85">
        <f>Jan!P64+Feb!P64+Mar!P64+Apr!P64+May!P64+June!P64+July!P64+Aug!P64+Sep!P64+Oct!P64+Nov!P64+Dec!P64</f>
        <v>0</v>
      </c>
      <c r="Q64" s="85">
        <f>Jan!Q64+Feb!Q64+Mar!Q64+Apr!Q64+May!Q64+June!Q64+July!Q64+Aug!Q64+Sep!Q64+Oct!Q64+Nov!Q64+Dec!Q64</f>
        <v>0</v>
      </c>
      <c r="R64" s="85">
        <f>Jan!R64+Feb!R64+Mar!R64+Apr!R64+May!R64+June!R64+July!R64+Aug!R64+Sep!R64+Oct!R64+Nov!R64+Dec!R64</f>
        <v>0</v>
      </c>
      <c r="S64" s="87">
        <f>Jan!S64+Feb!S64+Mar!S64+Apr!S64+May!S64+June!S64+July!S64+Aug!S64+Sep!S64+Oct!S64+Nov!S64+Dec!S64</f>
        <v>1771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f>Jan!G65+Feb!G65+Mar!G65+Apr!G65+May!G65+June!G65+July!G65+Aug!G65+Sep!G65+Oct!G65+Nov!G65+Dec!G65</f>
        <v>28366</v>
      </c>
      <c r="H65" s="83">
        <f>Jan!H65+Feb!H65+Mar!H65+Apr!H65+May!H65+June!H65+July!H65+Aug!H65+Sep!H65+Oct!H65+Nov!H65+Dec!H65</f>
        <v>0</v>
      </c>
      <c r="I65" s="84">
        <f>Jan!I65+Feb!I65+Mar!I65+Apr!I65+May!I65+June!I65+July!I65+Aug!I65+Sep!I65+Oct!I65+Nov!I65+Dec!I65</f>
        <v>0</v>
      </c>
      <c r="J65" s="85">
        <f>Jan!J65+Feb!J65+Mar!J65+Apr!J65+May!J65+June!J65+July!J65+Aug!J65+Sep!J65+Oct!J65+Nov!J65+Dec!J65</f>
        <v>0</v>
      </c>
      <c r="K65" s="85">
        <f>Jan!K65+Feb!K65+Mar!K65+Apr!K65+May!K65+June!K65+July!K65+Aug!K65+Sep!K65+Oct!K65+Nov!K65+Dec!K65</f>
        <v>0</v>
      </c>
      <c r="L65" s="85">
        <f>Jan!L65+Feb!L65+Mar!L65+Apr!L65+May!L65+June!L65+July!L65+Aug!L65+Sep!L65+Oct!L65+Nov!L65+Dec!L65</f>
        <v>0</v>
      </c>
      <c r="M65" s="85">
        <f>Jan!M65+Feb!M65+Mar!M65+Apr!M65+May!M65+June!M65+July!M65+Aug!M65+Sep!M65+Oct!M65+Nov!M65+Dec!M65</f>
        <v>0</v>
      </c>
      <c r="N65" s="85">
        <f>Jan!N65+Feb!N65+Mar!N65+Apr!N65+May!N65+June!N65+July!N65+Aug!N65+Sep!N65+Oct!N65+Nov!N65+Dec!N65</f>
        <v>0</v>
      </c>
      <c r="O65" s="85">
        <f>Jan!O65+Feb!O65+Mar!O65+Apr!O65+May!O65+June!O65+July!O65+Aug!O65+Sep!O65+Oct!O65+Nov!O65+Dec!O65</f>
        <v>12805</v>
      </c>
      <c r="P65" s="85">
        <f>Jan!P65+Feb!P65+Mar!P65+Apr!P65+May!P65+June!P65+July!P65+Aug!P65+Sep!P65+Oct!P65+Nov!P65+Dec!P65</f>
        <v>0</v>
      </c>
      <c r="Q65" s="85">
        <f>Jan!Q65+Feb!Q65+Mar!Q65+Apr!Q65+May!Q65+June!Q65+July!Q65+Aug!Q65+Sep!Q65+Oct!Q65+Nov!Q65+Dec!Q65</f>
        <v>0</v>
      </c>
      <c r="R65" s="85">
        <f>Jan!R65+Feb!R65+Mar!R65+Apr!R65+May!R65+June!R65+July!R65+Aug!R65+Sep!R65+Oct!R65+Nov!R65+Dec!R65</f>
        <v>0</v>
      </c>
      <c r="S65" s="87">
        <f>Jan!S65+Feb!S65+Mar!S65+Apr!S65+May!S65+June!S65+July!S65+Aug!S65+Sep!S65+Oct!S65+Nov!S65+Dec!S65</f>
        <v>15561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f>Jan!G66+Feb!G66+Mar!G66+Apr!G66+May!G66+June!G66+July!G66+Aug!G66+Sep!G66+Oct!G66+Nov!G66+Dec!G66</f>
        <v>1280</v>
      </c>
      <c r="H66" s="83">
        <f>Jan!H66+Feb!H66+Mar!H66+Apr!H66+May!H66+June!H66+July!H66+Aug!H66+Sep!H66+Oct!H66+Nov!H66+Dec!H66</f>
        <v>0</v>
      </c>
      <c r="I66" s="84">
        <f>Jan!I66+Feb!I66+Mar!I66+Apr!I66+May!I66+June!I66+July!I66+Aug!I66+Sep!I66+Oct!I66+Nov!I66+Dec!I66</f>
        <v>0</v>
      </c>
      <c r="J66" s="85">
        <f>Jan!J66+Feb!J66+Mar!J66+Apr!J66+May!J66+June!J66+July!J66+Aug!J66+Sep!J66+Oct!J66+Nov!J66+Dec!J66</f>
        <v>0</v>
      </c>
      <c r="K66" s="85">
        <f>Jan!K66+Feb!K66+Mar!K66+Apr!K66+May!K66+June!K66+July!K66+Aug!K66+Sep!K66+Oct!K66+Nov!K66+Dec!K66</f>
        <v>0</v>
      </c>
      <c r="L66" s="85">
        <f>Jan!L66+Feb!L66+Mar!L66+Apr!L66+May!L66+June!L66+July!L66+Aug!L66+Sep!L66+Oct!L66+Nov!L66+Dec!L66</f>
        <v>0</v>
      </c>
      <c r="M66" s="85">
        <f>Jan!M66+Feb!M66+Mar!M66+Apr!M66+May!M66+June!M66+July!M66+Aug!M66+Sep!M66+Oct!M66+Nov!M66+Dec!M66</f>
        <v>0</v>
      </c>
      <c r="N66" s="85">
        <f>Jan!N66+Feb!N66+Mar!N66+Apr!N66+May!N66+June!N66+July!N66+Aug!N66+Sep!N66+Oct!N66+Nov!N66+Dec!N66</f>
        <v>0</v>
      </c>
      <c r="O66" s="85">
        <f>Jan!O66+Feb!O66+Mar!O66+Apr!O66+May!O66+June!O66+July!O66+Aug!O66+Sep!O66+Oct!O66+Nov!O66+Dec!O66</f>
        <v>0</v>
      </c>
      <c r="P66" s="85">
        <f>Jan!P66+Feb!P66+Mar!P66+Apr!P66+May!P66+June!P66+July!P66+Aug!P66+Sep!P66+Oct!P66+Nov!P66+Dec!P66</f>
        <v>0</v>
      </c>
      <c r="Q66" s="85">
        <f>Jan!Q66+Feb!Q66+Mar!Q66+Apr!Q66+May!Q66+June!Q66+July!Q66+Aug!Q66+Sep!Q66+Oct!Q66+Nov!Q66+Dec!Q66</f>
        <v>0</v>
      </c>
      <c r="R66" s="85">
        <f>Jan!R66+Feb!R66+Mar!R66+Apr!R66+May!R66+June!R66+July!R66+Aug!R66+Sep!R66+Oct!R66+Nov!R66+Dec!R66</f>
        <v>0</v>
      </c>
      <c r="S66" s="87">
        <f>Jan!S66+Feb!S66+Mar!S66+Apr!S66+May!S66+June!S66+July!S66+Aug!S66+Sep!S66+Oct!S66+Nov!S66+Dec!S66</f>
        <v>1280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f>Jan!G67+Feb!G67+Mar!G67+Apr!G67+May!G67+June!G67+July!G67+Aug!G67+Sep!G67+Oct!G67+Nov!G67+Dec!G67</f>
        <v>10436</v>
      </c>
      <c r="H67" s="90">
        <f>Jan!H67+Feb!H67+Mar!H67+Apr!H67+May!H67+June!H67+July!H67+Aug!H67+Sep!H67+Oct!H67+Nov!H67+Dec!H67</f>
        <v>0</v>
      </c>
      <c r="I67" s="91">
        <f>Jan!I67+Feb!I67+Mar!I67+Apr!I67+May!I67+June!I67+July!I67+Aug!I67+Sep!I67+Oct!I67+Nov!I67+Dec!I67</f>
        <v>0</v>
      </c>
      <c r="J67" s="92">
        <f>Jan!J67+Feb!J67+Mar!J67+Apr!J67+May!J67+June!J67+July!J67+Aug!J67+Sep!J67+Oct!J67+Nov!J67+Dec!J67</f>
        <v>0</v>
      </c>
      <c r="K67" s="92">
        <f>Jan!K67+Feb!K67+Mar!K67+Apr!K67+May!K67+June!K67+July!K67+Aug!K67+Sep!K67+Oct!K67+Nov!K67+Dec!K67</f>
        <v>0</v>
      </c>
      <c r="L67" s="92">
        <f>Jan!L67+Feb!L67+Mar!L67+Apr!L67+May!L67+June!L67+July!L67+Aug!L67+Sep!L67+Oct!L67+Nov!L67+Dec!L67</f>
        <v>0</v>
      </c>
      <c r="M67" s="92">
        <f>Jan!M67+Feb!M67+Mar!M67+Apr!M67+May!M67+June!M67+July!M67+Aug!M67+Sep!M67+Oct!M67+Nov!M67+Dec!M67</f>
        <v>0</v>
      </c>
      <c r="N67" s="92">
        <f>Jan!N67+Feb!N67+Mar!N67+Apr!N67+May!N67+June!N67+July!N67+Aug!N67+Sep!N67+Oct!N67+Nov!N67+Dec!N67</f>
        <v>1370</v>
      </c>
      <c r="O67" s="92">
        <f>Jan!O67+Feb!O67+Mar!O67+Apr!O67+May!O67+June!O67+July!O67+Aug!O67+Sep!O67+Oct!O67+Nov!O67+Dec!O67</f>
        <v>57</v>
      </c>
      <c r="P67" s="92">
        <f>Jan!P67+Feb!P67+Mar!P67+Apr!P67+May!P67+June!P67+July!P67+Aug!P67+Sep!P67+Oct!P67+Nov!P67+Dec!P67</f>
        <v>94</v>
      </c>
      <c r="Q67" s="92">
        <f>Jan!Q67+Feb!Q67+Mar!Q67+Apr!Q67+May!Q67+June!Q67+July!Q67+Aug!Q67+Sep!Q67+Oct!Q67+Nov!Q67+Dec!Q67</f>
        <v>5723</v>
      </c>
      <c r="R67" s="92">
        <f>Jan!R67+Feb!R67+Mar!R67+Apr!R67+May!R67+June!R67+July!R67+Aug!R67+Sep!R67+Oct!R67+Nov!R67+Dec!R67</f>
        <v>0</v>
      </c>
      <c r="S67" s="104">
        <f>Jan!S67+Feb!S67+Mar!S67+Apr!S67+May!S67+June!S67+July!S67+Aug!S67+Sep!S67+Oct!S67+Nov!S67+Dec!S67</f>
        <v>3192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f>Jan!G68+Feb!G68+Mar!G68+Apr!G68+May!G68+June!G68+July!G68+Aug!G68+Sep!G68+Oct!G68+Nov!G68+Dec!G68</f>
        <v>250643</v>
      </c>
      <c r="H68" s="106">
        <f>Jan!H68+Feb!H68+Mar!H68+Apr!H68+May!H68+June!H68+July!H68+Aug!H68+Sep!H68+Oct!H68+Nov!H68+Dec!H68</f>
        <v>0</v>
      </c>
      <c r="I68" s="107">
        <f>Jan!I68+Feb!I68+Mar!I68+Apr!I68+May!I68+June!I68+July!I68+Aug!I68+Sep!I68+Oct!I68+Nov!I68+Dec!I68</f>
        <v>0</v>
      </c>
      <c r="J68" s="108">
        <f>Jan!J68+Feb!J68+Mar!J68+Apr!J68+May!J68+June!J68+July!J68+Aug!J68+Sep!J68+Oct!J68+Nov!J68+Dec!J68</f>
        <v>0</v>
      </c>
      <c r="K68" s="108">
        <f>Jan!K68+Feb!K68+Mar!K68+Apr!K68+May!K68+June!K68+July!K68+Aug!K68+Sep!K68+Oct!K68+Nov!K68+Dec!K68</f>
        <v>29541</v>
      </c>
      <c r="L68" s="108">
        <f>Jan!L68+Feb!L68+Mar!L68+Apr!L68+May!L68+June!L68+July!L68+Aug!L68+Sep!L68+Oct!L68+Nov!L68+Dec!L68</f>
        <v>0</v>
      </c>
      <c r="M68" s="108">
        <f>Jan!M68+Feb!M68+Mar!M68+Apr!M68+May!M68+June!M68+July!M68+Aug!M68+Sep!M68+Oct!M68+Nov!M68+Dec!M68</f>
        <v>4220</v>
      </c>
      <c r="N68" s="108">
        <f>Jan!N68+Feb!N68+Mar!N68+Apr!N68+May!N68+June!N68+July!N68+Aug!N68+Sep!N68+Oct!N68+Nov!N68+Dec!N68</f>
        <v>51934</v>
      </c>
      <c r="O68" s="108">
        <f>Jan!O68+Feb!O68+Mar!O68+Apr!O68+May!O68+June!O68+July!O68+Aug!O68+Sep!O68+Oct!O68+Nov!O68+Dec!O68</f>
        <v>63237</v>
      </c>
      <c r="P68" s="108">
        <f>Jan!P68+Feb!P68+Mar!P68+Apr!P68+May!P68+June!P68+July!P68+Aug!P68+Sep!P68+Oct!P68+Nov!P68+Dec!P68</f>
        <v>6020</v>
      </c>
      <c r="Q68" s="108">
        <f>Jan!Q68+Feb!Q68+Mar!Q68+Apr!Q68+May!Q68+June!Q68+July!Q68+Aug!Q68+Sep!Q68+Oct!Q68+Nov!Q68+Dec!Q68</f>
        <v>14532</v>
      </c>
      <c r="R68" s="108">
        <f>Jan!R68+Feb!R68+Mar!R68+Apr!R68+May!R68+June!R68+July!R68+Aug!R68+Sep!R68+Oct!R68+Nov!R68+Dec!R68</f>
        <v>0</v>
      </c>
      <c r="S68" s="109">
        <f>Jan!S68+Feb!S68+Mar!S68+Apr!S68+May!S68+June!S68+July!S68+Aug!S68+Sep!S68+Oct!S68+Nov!S68+Dec!S68</f>
        <v>81159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f>Jan!G69+Feb!G69+Mar!G69+Apr!G69+May!G69+June!G69+July!G69+Aug!G69+Sep!G69+Oct!G69+Nov!G69+Dec!G69</f>
        <v>24237</v>
      </c>
      <c r="H69" s="83">
        <f>Jan!H69+Feb!H69+Mar!H69+Apr!H69+May!H69+June!H69+July!H69+Aug!H69+Sep!H69+Oct!H69+Nov!H69+Dec!H69</f>
        <v>0</v>
      </c>
      <c r="I69" s="84">
        <f>Jan!I69+Feb!I69+Mar!I69+Apr!I69+May!I69+June!I69+July!I69+Aug!I69+Sep!I69+Oct!I69+Nov!I69+Dec!I69</f>
        <v>0</v>
      </c>
      <c r="J69" s="85">
        <f>Jan!J69+Feb!J69+Mar!J69+Apr!J69+May!J69+June!J69+July!J69+Aug!J69+Sep!J69+Oct!J69+Nov!J69+Dec!J69</f>
        <v>0</v>
      </c>
      <c r="K69" s="85">
        <f>Jan!K69+Feb!K69+Mar!K69+Apr!K69+May!K69+June!K69+July!K69+Aug!K69+Sep!K69+Oct!K69+Nov!K69+Dec!K69</f>
        <v>0</v>
      </c>
      <c r="L69" s="85">
        <f>Jan!L69+Feb!L69+Mar!L69+Apr!L69+May!L69+June!L69+July!L69+Aug!L69+Sep!L69+Oct!L69+Nov!L69+Dec!L69</f>
        <v>0</v>
      </c>
      <c r="M69" s="85">
        <f>Jan!M69+Feb!M69+Mar!M69+Apr!M69+May!M69+June!M69+July!M69+Aug!M69+Sep!M69+Oct!M69+Nov!M69+Dec!M69</f>
        <v>0</v>
      </c>
      <c r="N69" s="85">
        <f>Jan!N69+Feb!N69+Mar!N69+Apr!N69+May!N69+June!N69+July!N69+Aug!N69+Sep!N69+Oct!N69+Nov!N69+Dec!N69</f>
        <v>0</v>
      </c>
      <c r="O69" s="85">
        <f>Jan!O69+Feb!O69+Mar!O69+Apr!O69+May!O69+June!O69+July!O69+Aug!O69+Sep!O69+Oct!O69+Nov!O69+Dec!O69</f>
        <v>0</v>
      </c>
      <c r="P69" s="85">
        <f>Jan!P69+Feb!P69+Mar!P69+Apr!P69+May!P69+June!P69+July!P69+Aug!P69+Sep!P69+Oct!P69+Nov!P69+Dec!P69</f>
        <v>0</v>
      </c>
      <c r="Q69" s="85">
        <f>Jan!Q69+Feb!Q69+Mar!Q69+Apr!Q69+May!Q69+June!Q69+July!Q69+Aug!Q69+Sep!Q69+Oct!Q69+Nov!Q69+Dec!Q69</f>
        <v>0</v>
      </c>
      <c r="R69" s="85">
        <f>Jan!R69+Feb!R69+Mar!R69+Apr!R69+May!R69+June!R69+July!R69+Aug!R69+Sep!R69+Oct!R69+Nov!R69+Dec!R69</f>
        <v>24237</v>
      </c>
      <c r="S69" s="87">
        <f>Jan!S69+Feb!S69+Mar!S69+Apr!S69+May!S69+June!S69+July!S69+Aug!S69+Sep!S69+Oct!S69+Nov!S69+Dec!S69</f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f>Jan!G70+Feb!G70+Mar!G70+Apr!G70+May!G70+June!G70+July!G70+Aug!G70+Sep!G70+Oct!G70+Nov!G70+Dec!G70</f>
        <v>121186</v>
      </c>
      <c r="H70" s="83">
        <f>Jan!H70+Feb!H70+Mar!H70+Apr!H70+May!H70+June!H70+July!H70+Aug!H70+Sep!H70+Oct!H70+Nov!H70+Dec!H70</f>
        <v>0</v>
      </c>
      <c r="I70" s="84">
        <f>Jan!I70+Feb!I70+Mar!I70+Apr!I70+May!I70+June!I70+July!I70+Aug!I70+Sep!I70+Oct!I70+Nov!I70+Dec!I70</f>
        <v>0</v>
      </c>
      <c r="J70" s="85">
        <f>Jan!J70+Feb!J70+Mar!J70+Apr!J70+May!J70+June!J70+July!J70+Aug!J70+Sep!J70+Oct!J70+Nov!J70+Dec!J70</f>
        <v>0</v>
      </c>
      <c r="K70" s="85">
        <f>Jan!K70+Feb!K70+Mar!K70+Apr!K70+May!K70+June!K70+July!K70+Aug!K70+Sep!K70+Oct!K70+Nov!K70+Dec!K70</f>
        <v>0</v>
      </c>
      <c r="L70" s="85">
        <f>Jan!L70+Feb!L70+Mar!L70+Apr!L70+May!L70+June!L70+July!L70+Aug!L70+Sep!L70+Oct!L70+Nov!L70+Dec!L70</f>
        <v>0</v>
      </c>
      <c r="M70" s="85">
        <f>Jan!M70+Feb!M70+Mar!M70+Apr!M70+May!M70+June!M70+July!M70+Aug!M70+Sep!M70+Oct!M70+Nov!M70+Dec!M70</f>
        <v>0</v>
      </c>
      <c r="N70" s="85">
        <f>Jan!N70+Feb!N70+Mar!N70+Apr!N70+May!N70+June!N70+July!N70+Aug!N70+Sep!N70+Oct!N70+Nov!N70+Dec!N70</f>
        <v>630</v>
      </c>
      <c r="O70" s="85">
        <f>Jan!O70+Feb!O70+Mar!O70+Apr!O70+May!O70+June!O70+July!O70+Aug!O70+Sep!O70+Oct!O70+Nov!O70+Dec!O70</f>
        <v>11</v>
      </c>
      <c r="P70" s="85">
        <f>Jan!P70+Feb!P70+Mar!P70+Apr!P70+May!P70+June!P70+July!P70+Aug!P70+Sep!P70+Oct!P70+Nov!P70+Dec!P70</f>
        <v>10823</v>
      </c>
      <c r="Q70" s="85">
        <f>Jan!Q70+Feb!Q70+Mar!Q70+Apr!Q70+May!Q70+June!Q70+July!Q70+Aug!Q70+Sep!Q70+Oct!Q70+Nov!Q70+Dec!Q70</f>
        <v>1697</v>
      </c>
      <c r="R70" s="85">
        <f>Jan!R70+Feb!R70+Mar!R70+Apr!R70+May!R70+June!R70+July!R70+Aug!R70+Sep!R70+Oct!R70+Nov!R70+Dec!R70</f>
        <v>108025</v>
      </c>
      <c r="S70" s="87">
        <f>Jan!S70+Feb!S70+Mar!S70+Apr!S70+May!S70+June!S70+July!S70+Aug!S70+Sep!S70+Oct!S70+Nov!S70+Dec!S70</f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f>Jan!G71+Feb!G71+Mar!G71+Apr!G71+May!G71+June!G71+July!G71+Aug!G71+Sep!G71+Oct!G71+Nov!G71+Dec!G71</f>
        <v>74779</v>
      </c>
      <c r="H71" s="83">
        <f>Jan!H71+Feb!H71+Mar!H71+Apr!H71+May!H71+June!H71+July!H71+Aug!H71+Sep!H71+Oct!H71+Nov!H71+Dec!H71</f>
        <v>0</v>
      </c>
      <c r="I71" s="84">
        <f>Jan!I71+Feb!I71+Mar!I71+Apr!I71+May!I71+June!I71+July!I71+Aug!I71+Sep!I71+Oct!I71+Nov!I71+Dec!I71</f>
        <v>0</v>
      </c>
      <c r="J71" s="85">
        <f>Jan!J71+Feb!J71+Mar!J71+Apr!J71+May!J71+June!J71+July!J71+Aug!J71+Sep!J71+Oct!J71+Nov!J71+Dec!J71</f>
        <v>0</v>
      </c>
      <c r="K71" s="85">
        <f>Jan!K71+Feb!K71+Mar!K71+Apr!K71+May!K71+June!K71+July!K71+Aug!K71+Sep!K71+Oct!K71+Nov!K71+Dec!K71</f>
        <v>0</v>
      </c>
      <c r="L71" s="85">
        <f>Jan!L71+Feb!L71+Mar!L71+Apr!L71+May!L71+June!L71+July!L71+Aug!L71+Sep!L71+Oct!L71+Nov!L71+Dec!L71</f>
        <v>0</v>
      </c>
      <c r="M71" s="85">
        <f>Jan!M71+Feb!M71+Mar!M71+Apr!M71+May!M71+June!M71+July!M71+Aug!M71+Sep!M71+Oct!M71+Nov!M71+Dec!M71</f>
        <v>0</v>
      </c>
      <c r="N71" s="85">
        <f>Jan!N71+Feb!N71+Mar!N71+Apr!N71+May!N71+June!N71+July!N71+Aug!N71+Sep!N71+Oct!N71+Nov!N71+Dec!N71</f>
        <v>1744</v>
      </c>
      <c r="O71" s="85">
        <f>Jan!O71+Feb!O71+Mar!O71+Apr!O71+May!O71+June!O71+July!O71+Aug!O71+Sep!O71+Oct!O71+Nov!O71+Dec!O71</f>
        <v>1</v>
      </c>
      <c r="P71" s="85">
        <f>Jan!P71+Feb!P71+Mar!P71+Apr!P71+May!P71+June!P71+July!P71+Aug!P71+Sep!P71+Oct!P71+Nov!P71+Dec!P71</f>
        <v>2688</v>
      </c>
      <c r="Q71" s="85">
        <f>Jan!Q71+Feb!Q71+Mar!Q71+Apr!Q71+May!Q71+June!Q71+July!Q71+Aug!Q71+Sep!Q71+Oct!Q71+Nov!Q71+Dec!Q71</f>
        <v>1000</v>
      </c>
      <c r="R71" s="85">
        <f>Jan!R71+Feb!R71+Mar!R71+Apr!R71+May!R71+June!R71+July!R71+Aug!R71+Sep!R71+Oct!R71+Nov!R71+Dec!R71</f>
        <v>69346</v>
      </c>
      <c r="S71" s="87">
        <f>Jan!S71+Feb!S71+Mar!S71+Apr!S71+May!S71+June!S71+July!S71+Aug!S71+Sep!S71+Oct!S71+Nov!S71+Dec!S71</f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f>Jan!G72+Feb!G72+Mar!G72+Apr!G72+May!G72+June!G72+July!G72+Aug!G72+Sep!G72+Oct!G72+Nov!G72+Dec!G72</f>
        <v>80179</v>
      </c>
      <c r="H72" s="83">
        <f>Jan!H72+Feb!H72+Mar!H72+Apr!H72+May!H72+June!H72+July!H72+Aug!H72+Sep!H72+Oct!H72+Nov!H72+Dec!H72</f>
        <v>0</v>
      </c>
      <c r="I72" s="84">
        <f>Jan!I72+Feb!I72+Mar!I72+Apr!I72+May!I72+June!I72+July!I72+Aug!I72+Sep!I72+Oct!I72+Nov!I72+Dec!I72</f>
        <v>0</v>
      </c>
      <c r="J72" s="85">
        <f>Jan!J72+Feb!J72+Mar!J72+Apr!J72+May!J72+June!J72+July!J72+Aug!J72+Sep!J72+Oct!J72+Nov!J72+Dec!J72</f>
        <v>0</v>
      </c>
      <c r="K72" s="85">
        <f>Jan!K72+Feb!K72+Mar!K72+Apr!K72+May!K72+June!K72+July!K72+Aug!K72+Sep!K72+Oct!K72+Nov!K72+Dec!K72</f>
        <v>0</v>
      </c>
      <c r="L72" s="85">
        <f>Jan!L72+Feb!L72+Mar!L72+Apr!L72+May!L72+June!L72+July!L72+Aug!L72+Sep!L72+Oct!L72+Nov!L72+Dec!L72</f>
        <v>0</v>
      </c>
      <c r="M72" s="85">
        <f>Jan!M72+Feb!M72+Mar!M72+Apr!M72+May!M72+June!M72+July!M72+Aug!M72+Sep!M72+Oct!M72+Nov!M72+Dec!M72</f>
        <v>565</v>
      </c>
      <c r="N72" s="85">
        <f>Jan!N72+Feb!N72+Mar!N72+Apr!N72+May!N72+June!N72+July!N72+Aug!N72+Sep!N72+Oct!N72+Nov!N72+Dec!N72</f>
        <v>2289</v>
      </c>
      <c r="O72" s="85">
        <f>Jan!O72+Feb!O72+Mar!O72+Apr!O72+May!O72+June!O72+July!O72+Aug!O72+Sep!O72+Oct!O72+Nov!O72+Dec!O72</f>
        <v>3245</v>
      </c>
      <c r="P72" s="85">
        <f>Jan!P72+Feb!P72+Mar!P72+Apr!P72+May!P72+June!P72+July!P72+Aug!P72+Sep!P72+Oct!P72+Nov!P72+Dec!P72</f>
        <v>369</v>
      </c>
      <c r="Q72" s="85">
        <f>Jan!Q72+Feb!Q72+Mar!Q72+Apr!Q72+May!Q72+June!Q72+July!Q72+Aug!Q72+Sep!Q72+Oct!Q72+Nov!Q72+Dec!Q72</f>
        <v>442</v>
      </c>
      <c r="R72" s="85">
        <f>Jan!R72+Feb!R72+Mar!R72+Apr!R72+May!R72+June!R72+July!R72+Aug!R72+Sep!R72+Oct!R72+Nov!R72+Dec!R72</f>
        <v>73269</v>
      </c>
      <c r="S72" s="87">
        <f>Jan!S72+Feb!S72+Mar!S72+Apr!S72+May!S72+June!S72+July!S72+Aug!S72+Sep!S72+Oct!S72+Nov!S72+Dec!S72</f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f>Jan!G73+Feb!G73+Mar!G73+Apr!G73+May!G73+June!G73+July!G73+Aug!G73+Sep!G73+Oct!G73+Nov!G73+Dec!G73</f>
        <v>2862</v>
      </c>
      <c r="H73" s="83">
        <f>Jan!H73+Feb!H73+Mar!H73+Apr!H73+May!H73+June!H73+July!H73+Aug!H73+Sep!H73+Oct!H73+Nov!H73+Dec!H73</f>
        <v>0</v>
      </c>
      <c r="I73" s="84">
        <f>Jan!I73+Feb!I73+Mar!I73+Apr!I73+May!I73+June!I73+July!I73+Aug!I73+Sep!I73+Oct!I73+Nov!I73+Dec!I73</f>
        <v>0</v>
      </c>
      <c r="J73" s="85">
        <f>Jan!J73+Feb!J73+Mar!J73+Apr!J73+May!J73+June!J73+July!J73+Aug!J73+Sep!J73+Oct!J73+Nov!J73+Dec!J73</f>
        <v>0</v>
      </c>
      <c r="K73" s="85">
        <f>Jan!K73+Feb!K73+Mar!K73+Apr!K73+May!K73+June!K73+July!K73+Aug!K73+Sep!K73+Oct!K73+Nov!K73+Dec!K73</f>
        <v>0</v>
      </c>
      <c r="L73" s="85">
        <f>Jan!L73+Feb!L73+Mar!L73+Apr!L73+May!L73+June!L73+July!L73+Aug!L73+Sep!L73+Oct!L73+Nov!L73+Dec!L73</f>
        <v>0</v>
      </c>
      <c r="M73" s="85">
        <f>Jan!M73+Feb!M73+Mar!M73+Apr!M73+May!M73+June!M73+July!M73+Aug!M73+Sep!M73+Oct!M73+Nov!M73+Dec!M73</f>
        <v>0</v>
      </c>
      <c r="N73" s="85">
        <f>Jan!N73+Feb!N73+Mar!N73+Apr!N73+May!N73+June!N73+July!N73+Aug!N73+Sep!N73+Oct!N73+Nov!N73+Dec!N73</f>
        <v>0</v>
      </c>
      <c r="O73" s="85">
        <f>Jan!O73+Feb!O73+Mar!O73+Apr!O73+May!O73+June!O73+July!O73+Aug!O73+Sep!O73+Oct!O73+Nov!O73+Dec!O73</f>
        <v>0</v>
      </c>
      <c r="P73" s="85">
        <f>Jan!P73+Feb!P73+Mar!P73+Apr!P73+May!P73+June!P73+July!P73+Aug!P73+Sep!P73+Oct!P73+Nov!P73+Dec!P73</f>
        <v>0</v>
      </c>
      <c r="Q73" s="85">
        <f>Jan!Q73+Feb!Q73+Mar!Q73+Apr!Q73+May!Q73+June!Q73+July!Q73+Aug!Q73+Sep!Q73+Oct!Q73+Nov!Q73+Dec!Q73</f>
        <v>0</v>
      </c>
      <c r="R73" s="85">
        <f>Jan!R73+Feb!R73+Mar!R73+Apr!R73+May!R73+June!R73+July!R73+Aug!R73+Sep!R73+Oct!R73+Nov!R73+Dec!R73</f>
        <v>2862</v>
      </c>
      <c r="S73" s="87">
        <f>Jan!S73+Feb!S73+Mar!S73+Apr!S73+May!S73+June!S73+July!S73+Aug!S73+Sep!S73+Oct!S73+Nov!S73+Dec!S73</f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f>Jan!G74+Feb!G74+Mar!G74+Apr!G74+May!G74+June!G74+July!G74+Aug!G74+Sep!G74+Oct!G74+Nov!G74+Dec!G74</f>
        <v>1439</v>
      </c>
      <c r="H74" s="90">
        <f>Jan!H74+Feb!H74+Mar!H74+Apr!H74+May!H74+June!H74+July!H74+Aug!H74+Sep!H74+Oct!H74+Nov!H74+Dec!H74</f>
        <v>0</v>
      </c>
      <c r="I74" s="91">
        <f>Jan!I74+Feb!I74+Mar!I74+Apr!I74+May!I74+June!I74+July!I74+Aug!I74+Sep!I74+Oct!I74+Nov!I74+Dec!I74</f>
        <v>0</v>
      </c>
      <c r="J74" s="92">
        <f>Jan!J74+Feb!J74+Mar!J74+Apr!J74+May!J74+June!J74+July!J74+Aug!J74+Sep!J74+Oct!J74+Nov!J74+Dec!J74</f>
        <v>0</v>
      </c>
      <c r="K74" s="92">
        <f>Jan!K74+Feb!K74+Mar!K74+Apr!K74+May!K74+June!K74+July!K74+Aug!K74+Sep!K74+Oct!K74+Nov!K74+Dec!K74</f>
        <v>0</v>
      </c>
      <c r="L74" s="92">
        <f>Jan!L74+Feb!L74+Mar!L74+Apr!L74+May!L74+June!L74+July!L74+Aug!L74+Sep!L74+Oct!L74+Nov!L74+Dec!L74</f>
        <v>0</v>
      </c>
      <c r="M74" s="92">
        <f>Jan!M74+Feb!M74+Mar!M74+Apr!M74+May!M74+June!M74+July!M74+Aug!M74+Sep!M74+Oct!M74+Nov!M74+Dec!M74</f>
        <v>0</v>
      </c>
      <c r="N74" s="92">
        <f>Jan!N74+Feb!N74+Mar!N74+Apr!N74+May!N74+June!N74+July!N74+Aug!N74+Sep!N74+Oct!N74+Nov!N74+Dec!N74</f>
        <v>0</v>
      </c>
      <c r="O74" s="92">
        <f>Jan!O74+Feb!O74+Mar!O74+Apr!O74+May!O74+June!O74+July!O74+Aug!O74+Sep!O74+Oct!O74+Nov!O74+Dec!O74</f>
        <v>0</v>
      </c>
      <c r="P74" s="92">
        <f>Jan!P74+Feb!P74+Mar!P74+Apr!P74+May!P74+June!P74+July!P74+Aug!P74+Sep!P74+Oct!P74+Nov!P74+Dec!P74</f>
        <v>0</v>
      </c>
      <c r="Q74" s="92">
        <f>Jan!Q74+Feb!Q74+Mar!Q74+Apr!Q74+May!Q74+June!Q74+July!Q74+Aug!Q74+Sep!Q74+Oct!Q74+Nov!Q74+Dec!Q74</f>
        <v>0</v>
      </c>
      <c r="R74" s="92">
        <f>Jan!R74+Feb!R74+Mar!R74+Apr!R74+May!R74+June!R74+July!R74+Aug!R74+Sep!R74+Oct!R74+Nov!R74+Dec!R74</f>
        <v>1439</v>
      </c>
      <c r="S74" s="104">
        <f>Jan!S74+Feb!S74+Mar!S74+Apr!S74+May!S74+June!S74+July!S74+Aug!S74+Sep!S74+Oct!S74+Nov!S74+Dec!S74</f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f>Jan!G75+Feb!G75+Mar!G75+Apr!G75+May!G75+June!G75+July!G75+Aug!G75+Sep!G75+Oct!G75+Nov!G75+Dec!G75</f>
        <v>304682</v>
      </c>
      <c r="H75" s="106">
        <f>Jan!H75+Feb!H75+Mar!H75+Apr!H75+May!H75+June!H75+July!H75+Aug!H75+Sep!H75+Oct!H75+Nov!H75+Dec!H75</f>
        <v>0</v>
      </c>
      <c r="I75" s="107">
        <f>Jan!I75+Feb!I75+Mar!I75+Apr!I75+May!I75+June!I75+July!I75+Aug!I75+Sep!I75+Oct!I75+Nov!I75+Dec!I75</f>
        <v>0</v>
      </c>
      <c r="J75" s="108">
        <f>Jan!J75+Feb!J75+Mar!J75+Apr!J75+May!J75+June!J75+July!J75+Aug!J75+Sep!J75+Oct!J75+Nov!J75+Dec!J75</f>
        <v>0</v>
      </c>
      <c r="K75" s="108">
        <f>Jan!K75+Feb!K75+Mar!K75+Apr!K75+May!K75+June!K75+July!K75+Aug!K75+Sep!K75+Oct!K75+Nov!K75+Dec!K75</f>
        <v>0</v>
      </c>
      <c r="L75" s="108">
        <f>Jan!L75+Feb!L75+Mar!L75+Apr!L75+May!L75+June!L75+July!L75+Aug!L75+Sep!L75+Oct!L75+Nov!L75+Dec!L75</f>
        <v>0</v>
      </c>
      <c r="M75" s="108">
        <f>Jan!M75+Feb!M75+Mar!M75+Apr!M75+May!M75+June!M75+July!M75+Aug!M75+Sep!M75+Oct!M75+Nov!M75+Dec!M75</f>
        <v>565</v>
      </c>
      <c r="N75" s="108">
        <f>Jan!N75+Feb!N75+Mar!N75+Apr!N75+May!N75+June!N75+July!N75+Aug!N75+Sep!N75+Oct!N75+Nov!N75+Dec!N75</f>
        <v>4663</v>
      </c>
      <c r="O75" s="108">
        <f>Jan!O75+Feb!O75+Mar!O75+Apr!O75+May!O75+June!O75+July!O75+Aug!O75+Sep!O75+Oct!O75+Nov!O75+Dec!O75</f>
        <v>3257</v>
      </c>
      <c r="P75" s="108">
        <f>Jan!P75+Feb!P75+Mar!P75+Apr!P75+May!P75+June!P75+July!P75+Aug!P75+Sep!P75+Oct!P75+Nov!P75+Dec!P75</f>
        <v>13880</v>
      </c>
      <c r="Q75" s="108">
        <f>Jan!Q75+Feb!Q75+Mar!Q75+Apr!Q75+May!Q75+June!Q75+July!Q75+Aug!Q75+Sep!Q75+Oct!Q75+Nov!Q75+Dec!Q75</f>
        <v>3139</v>
      </c>
      <c r="R75" s="108">
        <f>Jan!R75+Feb!R75+Mar!R75+Apr!R75+May!R75+June!R75+July!R75+Aug!R75+Sep!R75+Oct!R75+Nov!R75+Dec!R75</f>
        <v>279178</v>
      </c>
      <c r="S75" s="109">
        <f>Jan!S75+Feb!S75+Mar!S75+Apr!S75+May!S75+June!S75+July!S75+Aug!S75+Sep!S75+Oct!S75+Nov!S75+Dec!S75</f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f>Jan!G76+Feb!G76+Mar!G76+Apr!G76+May!G76+June!G76+July!G76+Aug!G76+Sep!G76+Oct!G76+Nov!G76+Dec!G76</f>
        <v>71</v>
      </c>
      <c r="H76" s="100">
        <f>Jan!H76+Feb!H76+Mar!H76+Apr!H76+May!H76+June!H76+July!H76+Aug!H76+Sep!H76+Oct!H76+Nov!H76+Dec!H76</f>
        <v>0</v>
      </c>
      <c r="I76" s="101">
        <f>Jan!I76+Feb!I76+Mar!I76+Apr!I76+May!I76+June!I76+July!I76+Aug!I76+Sep!I76+Oct!I76+Nov!I76+Dec!I76</f>
        <v>0</v>
      </c>
      <c r="J76" s="102">
        <f>Jan!J76+Feb!J76+Mar!J76+Apr!J76+May!J76+June!J76+July!J76+Aug!J76+Sep!J76+Oct!J76+Nov!J76+Dec!J76</f>
        <v>0</v>
      </c>
      <c r="K76" s="102">
        <f>Jan!K76+Feb!K76+Mar!K76+Apr!K76+May!K76+June!K76+July!K76+Aug!K76+Sep!K76+Oct!K76+Nov!K76+Dec!K76</f>
        <v>0</v>
      </c>
      <c r="L76" s="102">
        <f>Jan!L76+Feb!L76+Mar!L76+Apr!L76+May!L76+June!L76+July!L76+Aug!L76+Sep!L76+Oct!L76+Nov!L76+Dec!L76</f>
        <v>0</v>
      </c>
      <c r="M76" s="102">
        <f>Jan!M76+Feb!M76+Mar!M76+Apr!M76+May!M76+June!M76+July!M76+Aug!M76+Sep!M76+Oct!M76+Nov!M76+Dec!M76</f>
        <v>0</v>
      </c>
      <c r="N76" s="102">
        <f>Jan!N76+Feb!N76+Mar!N76+Apr!N76+May!N76+June!N76+July!N76+Aug!N76+Sep!N76+Oct!N76+Nov!N76+Dec!N76</f>
        <v>0</v>
      </c>
      <c r="O76" s="102">
        <f>Jan!O76+Feb!O76+Mar!O76+Apr!O76+May!O76+June!O76+July!O76+Aug!O76+Sep!O76+Oct!O76+Nov!O76+Dec!O76</f>
        <v>0</v>
      </c>
      <c r="P76" s="102">
        <f>Jan!P76+Feb!P76+Mar!P76+Apr!P76+May!P76+June!P76+July!P76+Aug!P76+Sep!P76+Oct!P76+Nov!P76+Dec!P76</f>
        <v>0</v>
      </c>
      <c r="Q76" s="102">
        <f>Jan!Q76+Feb!Q76+Mar!Q76+Apr!Q76+May!Q76+June!Q76+July!Q76+Aug!Q76+Sep!Q76+Oct!Q76+Nov!Q76+Dec!Q76</f>
        <v>71</v>
      </c>
      <c r="R76" s="102">
        <f>Jan!R76+Feb!R76+Mar!R76+Apr!R76+May!R76+June!R76+July!R76+Aug!R76+Sep!R76+Oct!R76+Nov!R76+Dec!R76</f>
        <v>0</v>
      </c>
      <c r="S76" s="103">
        <f>Jan!S76+Feb!S76+Mar!S76+Apr!S76+May!S76+June!S76+July!S76+Aug!S76+Sep!S76+Oct!S76+Nov!S76+Dec!S76</f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f>Jan!G77+Feb!G77+Mar!G77+Apr!G77+May!G77+June!G77+July!G77+Aug!G77+Sep!G77+Oct!G77+Nov!G77+Dec!G77</f>
        <v>71</v>
      </c>
      <c r="H77" s="95">
        <f>Jan!H77+Feb!H77+Mar!H77+Apr!H77+May!H77+June!H77+July!H77+Aug!H77+Sep!H77+Oct!H77+Nov!H77+Dec!H77</f>
        <v>0</v>
      </c>
      <c r="I77" s="96">
        <f>Jan!I77+Feb!I77+Mar!I77+Apr!I77+May!I77+June!I77+July!I77+Aug!I77+Sep!I77+Oct!I77+Nov!I77+Dec!I77</f>
        <v>0</v>
      </c>
      <c r="J77" s="97">
        <f>Jan!J77+Feb!J77+Mar!J77+Apr!J77+May!J77+June!J77+July!J77+Aug!J77+Sep!J77+Oct!J77+Nov!J77+Dec!J77</f>
        <v>0</v>
      </c>
      <c r="K77" s="97">
        <f>Jan!K77+Feb!K77+Mar!K77+Apr!K77+May!K77+June!K77+July!K77+Aug!K77+Sep!K77+Oct!K77+Nov!K77+Dec!K77</f>
        <v>0</v>
      </c>
      <c r="L77" s="97">
        <f>Jan!L77+Feb!L77+Mar!L77+Apr!L77+May!L77+June!L77+July!L77+Aug!L77+Sep!L77+Oct!L77+Nov!L77+Dec!L77</f>
        <v>0</v>
      </c>
      <c r="M77" s="97">
        <f>Jan!M77+Feb!M77+Mar!M77+Apr!M77+May!M77+June!M77+July!M77+Aug!M77+Sep!M77+Oct!M77+Nov!M77+Dec!M77</f>
        <v>0</v>
      </c>
      <c r="N77" s="97">
        <f>Jan!N77+Feb!N77+Mar!N77+Apr!N77+May!N77+June!N77+July!N77+Aug!N77+Sep!N77+Oct!N77+Nov!N77+Dec!N77</f>
        <v>0</v>
      </c>
      <c r="O77" s="97">
        <f>Jan!O77+Feb!O77+Mar!O77+Apr!O77+May!O77+June!O77+July!O77+Aug!O77+Sep!O77+Oct!O77+Nov!O77+Dec!O77</f>
        <v>0</v>
      </c>
      <c r="P77" s="97">
        <f>Jan!P77+Feb!P77+Mar!P77+Apr!P77+May!P77+June!P77+July!P77+Aug!P77+Sep!P77+Oct!P77+Nov!P77+Dec!P77</f>
        <v>0</v>
      </c>
      <c r="Q77" s="97">
        <f>Jan!Q77+Feb!Q77+Mar!Q77+Apr!Q77+May!Q77+June!Q77+July!Q77+Aug!Q77+Sep!Q77+Oct!Q77+Nov!Q77+Dec!Q77</f>
        <v>71</v>
      </c>
      <c r="R77" s="97">
        <f>Jan!R77+Feb!R77+Mar!R77+Apr!R77+May!R77+June!R77+July!R77+Aug!R77+Sep!R77+Oct!R77+Nov!R77+Dec!R77</f>
        <v>0</v>
      </c>
      <c r="S77" s="98">
        <f>Jan!S77+Feb!S77+Mar!S77+Apr!S77+May!S77+June!S77+July!S77+Aug!S77+Sep!S77+Oct!S77+Nov!S77+Dec!S77</f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f>Jan!G79+Feb!G79+Mar!G79+Apr!G79+May!G79+June!G79+July!G79+Aug!G79+Sep!G79+Oct!G79+Nov!G79+Dec!G79</f>
        <v>1550</v>
      </c>
      <c r="H79" s="78">
        <f>Jan!H79+Feb!H79+Mar!H79+Apr!H79+May!H79+June!H79+July!H79+Aug!H79+Sep!H79+Oct!H79+Nov!H79+Dec!H79</f>
        <v>0</v>
      </c>
      <c r="I79" s="79">
        <f>Jan!I79+Feb!I79+Mar!I79+Apr!I79+May!I79+June!I79+July!I79+Aug!I79+Sep!I79+Oct!I79+Nov!I79+Dec!I79</f>
        <v>0</v>
      </c>
      <c r="J79" s="80">
        <f>Jan!J79+Feb!J79+Mar!J79+Apr!J79+May!J79+June!J79+July!J79+Aug!J79+Sep!J79+Oct!J79+Nov!J79+Dec!J79</f>
        <v>0</v>
      </c>
      <c r="K79" s="80">
        <f>Jan!K79+Feb!K79+Mar!K79+Apr!K79+May!K79+June!K79+July!K79+Aug!K79+Sep!K79+Oct!K79+Nov!K79+Dec!K79</f>
        <v>0</v>
      </c>
      <c r="L79" s="80">
        <f>Jan!L79+Feb!L79+Mar!L79+Apr!L79+May!L79+June!L79+July!L79+Aug!L79+Sep!L79+Oct!L79+Nov!L79+Dec!L79</f>
        <v>0</v>
      </c>
      <c r="M79" s="80">
        <f>Jan!M79+Feb!M79+Mar!M79+Apr!M79+May!M79+June!M79+July!M79+Aug!M79+Sep!M79+Oct!M79+Nov!M79+Dec!M79</f>
        <v>0</v>
      </c>
      <c r="N79" s="80">
        <f>Jan!N79+Feb!N79+Mar!N79+Apr!N79+May!N79+June!N79+July!N79+Aug!N79+Sep!N79+Oct!N79+Nov!N79+Dec!N79</f>
        <v>0</v>
      </c>
      <c r="O79" s="80">
        <f>Jan!O79+Feb!O79+Mar!O79+Apr!O79+May!O79+June!O79+July!O79+Aug!O79+Sep!O79+Oct!O79+Nov!O79+Dec!O79</f>
        <v>1287</v>
      </c>
      <c r="P79" s="80">
        <f>Jan!P79+Feb!P79+Mar!P79+Apr!P79+May!P79+June!P79+July!P79+Aug!P79+Sep!P79+Oct!P79+Nov!P79+Dec!P79</f>
        <v>0</v>
      </c>
      <c r="Q79" s="80">
        <f>Jan!Q79+Feb!Q79+Mar!Q79+Apr!Q79+May!Q79+June!Q79+July!Q79+Aug!Q79+Sep!Q79+Oct!Q79+Nov!Q79+Dec!Q79</f>
        <v>263</v>
      </c>
      <c r="R79" s="80">
        <f>Jan!R79+Feb!R79+Mar!R79+Apr!R79+May!R79+June!R79+July!R79+Aug!R79+Sep!R79+Oct!R79+Nov!R79+Dec!R79</f>
        <v>0</v>
      </c>
      <c r="S79" s="81">
        <f>Jan!S79+Feb!S79+Mar!S79+Apr!S79+May!S79+June!S79+July!S79+Aug!S79+Sep!S79+Oct!S79+Nov!S79+Dec!S79</f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f>Jan!G80+Feb!G80+Mar!G80+Apr!G80+May!G80+June!G80+July!G80+Aug!G80+Sep!G80+Oct!G80+Nov!G80+Dec!G80</f>
        <v>323</v>
      </c>
      <c r="H80" s="83">
        <f>Jan!H80+Feb!H80+Mar!H80+Apr!H80+May!H80+June!H80+July!H80+Aug!H80+Sep!H80+Oct!H80+Nov!H80+Dec!H80</f>
        <v>0</v>
      </c>
      <c r="I80" s="84">
        <f>Jan!I80+Feb!I80+Mar!I80+Apr!I80+May!I80+June!I80+July!I80+Aug!I80+Sep!I80+Oct!I80+Nov!I80+Dec!I80</f>
        <v>0</v>
      </c>
      <c r="J80" s="85">
        <f>Jan!J80+Feb!J80+Mar!J80+Apr!J80+May!J80+June!J80+July!J80+Aug!J80+Sep!J80+Oct!J80+Nov!J80+Dec!J80</f>
        <v>0</v>
      </c>
      <c r="K80" s="85">
        <f>Jan!K80+Feb!K80+Mar!K80+Apr!K80+May!K80+June!K80+July!K80+Aug!K80+Sep!K80+Oct!K80+Nov!K80+Dec!K80</f>
        <v>0</v>
      </c>
      <c r="L80" s="85">
        <f>Jan!L80+Feb!L80+Mar!L80+Apr!L80+May!L80+June!L80+July!L80+Aug!L80+Sep!L80+Oct!L80+Nov!L80+Dec!L80</f>
        <v>0</v>
      </c>
      <c r="M80" s="85">
        <f>Jan!M80+Feb!M80+Mar!M80+Apr!M80+May!M80+June!M80+July!M80+Aug!M80+Sep!M80+Oct!M80+Nov!M80+Dec!M80</f>
        <v>0</v>
      </c>
      <c r="N80" s="85">
        <f>Jan!N80+Feb!N80+Mar!N80+Apr!N80+May!N80+June!N80+July!N80+Aug!N80+Sep!N80+Oct!N80+Nov!N80+Dec!N80</f>
        <v>0</v>
      </c>
      <c r="O80" s="85">
        <f>Jan!O80+Feb!O80+Mar!O80+Apr!O80+May!O80+June!O80+July!O80+Aug!O80+Sep!O80+Oct!O80+Nov!O80+Dec!O80</f>
        <v>0</v>
      </c>
      <c r="P80" s="85">
        <f>Jan!P80+Feb!P80+Mar!P80+Apr!P80+May!P80+June!P80+July!P80+Aug!P80+Sep!P80+Oct!P80+Nov!P80+Dec!P80</f>
        <v>0</v>
      </c>
      <c r="Q80" s="85">
        <f>Jan!Q80+Feb!Q80+Mar!Q80+Apr!Q80+May!Q80+June!Q80+July!Q80+Aug!Q80+Sep!Q80+Oct!Q80+Nov!Q80+Dec!Q80</f>
        <v>323</v>
      </c>
      <c r="R80" s="85">
        <f>Jan!R80+Feb!R80+Mar!R80+Apr!R80+May!R80+June!R80+July!R80+Aug!R80+Sep!R80+Oct!R80+Nov!R80+Dec!R80</f>
        <v>0</v>
      </c>
      <c r="S80" s="86">
        <f>Jan!S80+Feb!S80+Mar!S80+Apr!S80+May!S80+June!S80+July!S80+Aug!S80+Sep!S80+Oct!S80+Nov!S80+Dec!S80</f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f>Jan!G81+Feb!G81+Mar!G81+Apr!G81+May!G81+June!G81+July!G81+Aug!G81+Sep!G81+Oct!G81+Nov!G81+Dec!G81</f>
        <v>5067</v>
      </c>
      <c r="H81" s="83">
        <f>Jan!H81+Feb!H81+Mar!H81+Apr!H81+May!H81+June!H81+July!H81+Aug!H81+Sep!H81+Oct!H81+Nov!H81+Dec!H81</f>
        <v>0</v>
      </c>
      <c r="I81" s="84">
        <f>Jan!I81+Feb!I81+Mar!I81+Apr!I81+May!I81+June!I81+July!I81+Aug!I81+Sep!I81+Oct!I81+Nov!I81+Dec!I81</f>
        <v>0</v>
      </c>
      <c r="J81" s="85">
        <f>Jan!J81+Feb!J81+Mar!J81+Apr!J81+May!J81+June!J81+July!J81+Aug!J81+Sep!J81+Oct!J81+Nov!J81+Dec!J81</f>
        <v>0</v>
      </c>
      <c r="K81" s="85">
        <f>Jan!K81+Feb!K81+Mar!K81+Apr!K81+May!K81+June!K81+July!K81+Aug!K81+Sep!K81+Oct!K81+Nov!K81+Dec!K81</f>
        <v>0</v>
      </c>
      <c r="L81" s="85">
        <f>Jan!L81+Feb!L81+Mar!L81+Apr!L81+May!L81+June!L81+July!L81+Aug!L81+Sep!L81+Oct!L81+Nov!L81+Dec!L81</f>
        <v>0</v>
      </c>
      <c r="M81" s="85">
        <f>Jan!M81+Feb!M81+Mar!M81+Apr!M81+May!M81+June!M81+July!M81+Aug!M81+Sep!M81+Oct!M81+Nov!M81+Dec!M81</f>
        <v>3363</v>
      </c>
      <c r="N81" s="85">
        <f>Jan!N81+Feb!N81+Mar!N81+Apr!N81+May!N81+June!N81+July!N81+Aug!N81+Sep!N81+Oct!N81+Nov!N81+Dec!N81</f>
        <v>0</v>
      </c>
      <c r="O81" s="85">
        <f>Jan!O81+Feb!O81+Mar!O81+Apr!O81+May!O81+June!O81+July!O81+Aug!O81+Sep!O81+Oct!O81+Nov!O81+Dec!O81</f>
        <v>0</v>
      </c>
      <c r="P81" s="85">
        <f>Jan!P81+Feb!P81+Mar!P81+Apr!P81+May!P81+June!P81+July!P81+Aug!P81+Sep!P81+Oct!P81+Nov!P81+Dec!P81</f>
        <v>0</v>
      </c>
      <c r="Q81" s="85">
        <f>Jan!Q81+Feb!Q81+Mar!Q81+Apr!Q81+May!Q81+June!Q81+July!Q81+Aug!Q81+Sep!Q81+Oct!Q81+Nov!Q81+Dec!Q81</f>
        <v>1704</v>
      </c>
      <c r="R81" s="85">
        <f>Jan!R81+Feb!R81+Mar!R81+Apr!R81+May!R81+June!R81+July!R81+Aug!R81+Sep!R81+Oct!R81+Nov!R81+Dec!R81</f>
        <v>0</v>
      </c>
      <c r="S81" s="87">
        <f>Jan!S81+Feb!S81+Mar!S81+Apr!S81+May!S81+June!S81+July!S81+Aug!S81+Sep!S81+Oct!S81+Nov!S81+Dec!S81</f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f>Jan!G82+Feb!G82+Mar!G82+Apr!G82+May!G82+June!G82+July!G82+Aug!G82+Sep!G82+Oct!G82+Nov!G82+Dec!G82</f>
        <v>0</v>
      </c>
      <c r="H82" s="83">
        <f>Jan!H82+Feb!H82+Mar!H82+Apr!H82+May!H82+June!H82+July!H82+Aug!H82+Sep!H82+Oct!H82+Nov!H82+Dec!H82</f>
        <v>0</v>
      </c>
      <c r="I82" s="84">
        <f>Jan!I82+Feb!I82+Mar!I82+Apr!I82+May!I82+June!I82+July!I82+Aug!I82+Sep!I82+Oct!I82+Nov!I82+Dec!I82</f>
        <v>0</v>
      </c>
      <c r="J82" s="85">
        <f>Jan!J82+Feb!J82+Mar!J82+Apr!J82+May!J82+June!J82+July!J82+Aug!J82+Sep!J82+Oct!J82+Nov!J82+Dec!J82</f>
        <v>0</v>
      </c>
      <c r="K82" s="85">
        <f>Jan!K82+Feb!K82+Mar!K82+Apr!K82+May!K82+June!K82+July!K82+Aug!K82+Sep!K82+Oct!K82+Nov!K82+Dec!K82</f>
        <v>0</v>
      </c>
      <c r="L82" s="85">
        <f>Jan!L82+Feb!L82+Mar!L82+Apr!L82+May!L82+June!L82+July!L82+Aug!L82+Sep!L82+Oct!L82+Nov!L82+Dec!L82</f>
        <v>0</v>
      </c>
      <c r="M82" s="85">
        <f>Jan!M82+Feb!M82+Mar!M82+Apr!M82+May!M82+June!M82+July!M82+Aug!M82+Sep!M82+Oct!M82+Nov!M82+Dec!M82</f>
        <v>0</v>
      </c>
      <c r="N82" s="85">
        <f>Jan!N82+Feb!N82+Mar!N82+Apr!N82+May!N82+June!N82+July!N82+Aug!N82+Sep!N82+Oct!N82+Nov!N82+Dec!N82</f>
        <v>0</v>
      </c>
      <c r="O82" s="85">
        <f>Jan!O82+Feb!O82+Mar!O82+Apr!O82+May!O82+June!O82+July!O82+Aug!O82+Sep!O82+Oct!O82+Nov!O82+Dec!O82</f>
        <v>0</v>
      </c>
      <c r="P82" s="85">
        <f>Jan!P82+Feb!P82+Mar!P82+Apr!P82+May!P82+June!P82+July!P82+Aug!P82+Sep!P82+Oct!P82+Nov!P82+Dec!P82</f>
        <v>0</v>
      </c>
      <c r="Q82" s="85">
        <f>Jan!Q82+Feb!Q82+Mar!Q82+Apr!Q82+May!Q82+June!Q82+July!Q82+Aug!Q82+Sep!Q82+Oct!Q82+Nov!Q82+Dec!Q82</f>
        <v>0</v>
      </c>
      <c r="R82" s="85">
        <f>Jan!R82+Feb!R82+Mar!R82+Apr!R82+May!R82+June!R82+July!R82+Aug!R82+Sep!R82+Oct!R82+Nov!R82+Dec!R82</f>
        <v>0</v>
      </c>
      <c r="S82" s="88">
        <f>Jan!S82+Feb!S82+Mar!S82+Apr!S82+May!S82+June!S82+July!S82+Aug!S82+Sep!S82+Oct!S82+Nov!S82+Dec!S82</f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f>Jan!G83+Feb!G83+Mar!G83+Apr!G83+May!G83+June!G83+July!G83+Aug!G83+Sep!G83+Oct!G83+Nov!G83+Dec!G83</f>
        <v>242</v>
      </c>
      <c r="H83" s="83">
        <f>Jan!H83+Feb!H83+Mar!H83+Apr!H83+May!H83+June!H83+July!H83+Aug!H83+Sep!H83+Oct!H83+Nov!H83+Dec!H83</f>
        <v>0</v>
      </c>
      <c r="I83" s="84">
        <f>Jan!I83+Feb!I83+Mar!I83+Apr!I83+May!I83+June!I83+July!I83+Aug!I83+Sep!I83+Oct!I83+Nov!I83+Dec!I83</f>
        <v>0</v>
      </c>
      <c r="J83" s="85">
        <f>Jan!J83+Feb!J83+Mar!J83+Apr!J83+May!J83+June!J83+July!J83+Aug!J83+Sep!J83+Oct!J83+Nov!J83+Dec!J83</f>
        <v>0</v>
      </c>
      <c r="K83" s="85">
        <f>Jan!K83+Feb!K83+Mar!K83+Apr!K83+May!K83+June!K83+July!K83+Aug!K83+Sep!K83+Oct!K83+Nov!K83+Dec!K83</f>
        <v>0</v>
      </c>
      <c r="L83" s="85">
        <f>Jan!L83+Feb!L83+Mar!L83+Apr!L83+May!L83+June!L83+July!L83+Aug!L83+Sep!L83+Oct!L83+Nov!L83+Dec!L83</f>
        <v>0</v>
      </c>
      <c r="M83" s="85">
        <f>Jan!M83+Feb!M83+Mar!M83+Apr!M83+May!M83+June!M83+July!M83+Aug!M83+Sep!M83+Oct!M83+Nov!M83+Dec!M83</f>
        <v>0</v>
      </c>
      <c r="N83" s="85">
        <f>Jan!N83+Feb!N83+Mar!N83+Apr!N83+May!N83+June!N83+July!N83+Aug!N83+Sep!N83+Oct!N83+Nov!N83+Dec!N83</f>
        <v>0</v>
      </c>
      <c r="O83" s="85">
        <f>Jan!O83+Feb!O83+Mar!O83+Apr!O83+May!O83+June!O83+July!O83+Aug!O83+Sep!O83+Oct!O83+Nov!O83+Dec!O83</f>
        <v>0</v>
      </c>
      <c r="P83" s="85">
        <f>Jan!P83+Feb!P83+Mar!P83+Apr!P83+May!P83+June!P83+July!P83+Aug!P83+Sep!P83+Oct!P83+Nov!P83+Dec!P83</f>
        <v>0</v>
      </c>
      <c r="Q83" s="85">
        <f>Jan!Q83+Feb!Q83+Mar!Q83+Apr!Q83+May!Q83+June!Q83+July!Q83+Aug!Q83+Sep!Q83+Oct!Q83+Nov!Q83+Dec!Q83</f>
        <v>242</v>
      </c>
      <c r="R83" s="85">
        <f>Jan!R83+Feb!R83+Mar!R83+Apr!R83+May!R83+June!R83+July!R83+Aug!R83+Sep!R83+Oct!R83+Nov!R83+Dec!R83</f>
        <v>0</v>
      </c>
      <c r="S83" s="88">
        <f>Jan!S83+Feb!S83+Mar!S83+Apr!S83+May!S83+June!S83+July!S83+Aug!S83+Sep!S83+Oct!S83+Nov!S83+Dec!S83</f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f>Jan!G84+Feb!G84+Mar!G84+Apr!G84+May!G84+June!G84+July!G84+Aug!G84+Sep!G84+Oct!G84+Nov!G84+Dec!G84</f>
        <v>0</v>
      </c>
      <c r="H84" s="83">
        <f>Jan!H84+Feb!H84+Mar!H84+Apr!H84+May!H84+June!H84+July!H84+Aug!H84+Sep!H84+Oct!H84+Nov!H84+Dec!H84</f>
        <v>0</v>
      </c>
      <c r="I84" s="84">
        <f>Jan!I84+Feb!I84+Mar!I84+Apr!I84+May!I84+June!I84+July!I84+Aug!I84+Sep!I84+Oct!I84+Nov!I84+Dec!I84</f>
        <v>0</v>
      </c>
      <c r="J84" s="85">
        <f>Jan!J84+Feb!J84+Mar!J84+Apr!J84+May!J84+June!J84+July!J84+Aug!J84+Sep!J84+Oct!J84+Nov!J84+Dec!J84</f>
        <v>0</v>
      </c>
      <c r="K84" s="85">
        <f>Jan!K84+Feb!K84+Mar!K84+Apr!K84+May!K84+June!K84+July!K84+Aug!K84+Sep!K84+Oct!K84+Nov!K84+Dec!K84</f>
        <v>0</v>
      </c>
      <c r="L84" s="85">
        <f>Jan!L84+Feb!L84+Mar!L84+Apr!L84+May!L84+June!L84+July!L84+Aug!L84+Sep!L84+Oct!L84+Nov!L84+Dec!L84</f>
        <v>0</v>
      </c>
      <c r="M84" s="85">
        <f>Jan!M84+Feb!M84+Mar!M84+Apr!M84+May!M84+June!M84+July!M84+Aug!M84+Sep!M84+Oct!M84+Nov!M84+Dec!M84</f>
        <v>0</v>
      </c>
      <c r="N84" s="85">
        <f>Jan!N84+Feb!N84+Mar!N84+Apr!N84+May!N84+June!N84+July!N84+Aug!N84+Sep!N84+Oct!N84+Nov!N84+Dec!N84</f>
        <v>0</v>
      </c>
      <c r="O84" s="85">
        <f>Jan!O84+Feb!O84+Mar!O84+Apr!O84+May!O84+June!O84+July!O84+Aug!O84+Sep!O84+Oct!O84+Nov!O84+Dec!O84</f>
        <v>0</v>
      </c>
      <c r="P84" s="85">
        <f>Jan!P84+Feb!P84+Mar!P84+Apr!P84+May!P84+June!P84+July!P84+Aug!P84+Sep!P84+Oct!P84+Nov!P84+Dec!P84</f>
        <v>0</v>
      </c>
      <c r="Q84" s="85">
        <f>Jan!Q84+Feb!Q84+Mar!Q84+Apr!Q84+May!Q84+June!Q84+July!Q84+Aug!Q84+Sep!Q84+Oct!Q84+Nov!Q84+Dec!Q84</f>
        <v>0</v>
      </c>
      <c r="R84" s="85">
        <f>Jan!R84+Feb!R84+Mar!R84+Apr!R84+May!R84+June!R84+July!R84+Aug!R84+Sep!R84+Oct!R84+Nov!R84+Dec!R84</f>
        <v>0</v>
      </c>
      <c r="S84" s="88">
        <f>Jan!S84+Feb!S84+Mar!S84+Apr!S84+May!S84+June!S84+July!S84+Aug!S84+Sep!S84+Oct!S84+Nov!S84+Dec!S84</f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f>Jan!G85+Feb!G85+Mar!G85+Apr!G85+May!G85+June!G85+July!G85+Aug!G85+Sep!G85+Oct!G85+Nov!G85+Dec!G85</f>
        <v>27685</v>
      </c>
      <c r="H85" s="83">
        <f>Jan!H85+Feb!H85+Mar!H85+Apr!H85+May!H85+June!H85+July!H85+Aug!H85+Sep!H85+Oct!H85+Nov!H85+Dec!H85</f>
        <v>0</v>
      </c>
      <c r="I85" s="84">
        <f>Jan!I85+Feb!I85+Mar!I85+Apr!I85+May!I85+June!I85+July!I85+Aug!I85+Sep!I85+Oct!I85+Nov!I85+Dec!I85</f>
        <v>0</v>
      </c>
      <c r="J85" s="85">
        <f>Jan!J85+Feb!J85+Mar!J85+Apr!J85+May!J85+June!J85+July!J85+Aug!J85+Sep!J85+Oct!J85+Nov!J85+Dec!J85</f>
        <v>0</v>
      </c>
      <c r="K85" s="85">
        <f>Jan!K85+Feb!K85+Mar!K85+Apr!K85+May!K85+June!K85+July!K85+Aug!K85+Sep!K85+Oct!K85+Nov!K85+Dec!K85</f>
        <v>0</v>
      </c>
      <c r="L85" s="85">
        <f>Jan!L85+Feb!L85+Mar!L85+Apr!L85+May!L85+June!L85+July!L85+Aug!L85+Sep!L85+Oct!L85+Nov!L85+Dec!L85</f>
        <v>0</v>
      </c>
      <c r="M85" s="85">
        <f>Jan!M85+Feb!M85+Mar!M85+Apr!M85+May!M85+June!M85+July!M85+Aug!M85+Sep!M85+Oct!M85+Nov!M85+Dec!M85</f>
        <v>18298</v>
      </c>
      <c r="N85" s="85">
        <f>Jan!N85+Feb!N85+Mar!N85+Apr!N85+May!N85+June!N85+July!N85+Aug!N85+Sep!N85+Oct!N85+Nov!N85+Dec!N85</f>
        <v>3209</v>
      </c>
      <c r="O85" s="85">
        <f>Jan!O85+Feb!O85+Mar!O85+Apr!O85+May!O85+June!O85+July!O85+Aug!O85+Sep!O85+Oct!O85+Nov!O85+Dec!O85</f>
        <v>0</v>
      </c>
      <c r="P85" s="85">
        <f>Jan!P85+Feb!P85+Mar!P85+Apr!P85+May!P85+June!P85+July!P85+Aug!P85+Sep!P85+Oct!P85+Nov!P85+Dec!P85</f>
        <v>0</v>
      </c>
      <c r="Q85" s="85">
        <f>Jan!Q85+Feb!Q85+Mar!Q85+Apr!Q85+May!Q85+June!Q85+July!Q85+Aug!Q85+Sep!Q85+Oct!Q85+Nov!Q85+Dec!Q85</f>
        <v>6178</v>
      </c>
      <c r="R85" s="85">
        <f>Jan!R85+Feb!R85+Mar!R85+Apr!R85+May!R85+June!R85+July!R85+Aug!R85+Sep!R85+Oct!R85+Nov!R85+Dec!R85</f>
        <v>0</v>
      </c>
      <c r="S85" s="88">
        <f>Jan!S85+Feb!S85+Mar!S85+Apr!S85+May!S85+June!S85+July!S85+Aug!S85+Sep!S85+Oct!S85+Nov!S85+Dec!S85</f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f>Jan!G86+Feb!G86+Mar!G86+Apr!G86+May!G86+June!G86+July!G86+Aug!G86+Sep!G86+Oct!G86+Nov!G86+Dec!G86</f>
        <v>3331</v>
      </c>
      <c r="H86" s="83">
        <f>Jan!H86+Feb!H86+Mar!H86+Apr!H86+May!H86+June!H86+July!H86+Aug!H86+Sep!H86+Oct!H86+Nov!H86+Dec!H86</f>
        <v>0</v>
      </c>
      <c r="I86" s="84">
        <f>Jan!I86+Feb!I86+Mar!I86+Apr!I86+May!I86+June!I86+July!I86+Aug!I86+Sep!I86+Oct!I86+Nov!I86+Dec!I86</f>
        <v>0</v>
      </c>
      <c r="J86" s="85">
        <f>Jan!J86+Feb!J86+Mar!J86+Apr!J86+May!J86+June!J86+July!J86+Aug!J86+Sep!J86+Oct!J86+Nov!J86+Dec!J86</f>
        <v>0</v>
      </c>
      <c r="K86" s="85">
        <f>Jan!K86+Feb!K86+Mar!K86+Apr!K86+May!K86+June!K86+July!K86+Aug!K86+Sep!K86+Oct!K86+Nov!K86+Dec!K86</f>
        <v>0</v>
      </c>
      <c r="L86" s="85">
        <f>Jan!L86+Feb!L86+Mar!L86+Apr!L86+May!L86+June!L86+July!L86+Aug!L86+Sep!L86+Oct!L86+Nov!L86+Dec!L86</f>
        <v>0</v>
      </c>
      <c r="M86" s="85">
        <f>Jan!M86+Feb!M86+Mar!M86+Apr!M86+May!M86+June!M86+July!M86+Aug!M86+Sep!M86+Oct!M86+Nov!M86+Dec!M86</f>
        <v>0</v>
      </c>
      <c r="N86" s="85">
        <f>Jan!N86+Feb!N86+Mar!N86+Apr!N86+May!N86+June!N86+July!N86+Aug!N86+Sep!N86+Oct!N86+Nov!N86+Dec!N86</f>
        <v>0</v>
      </c>
      <c r="O86" s="85">
        <f>Jan!O86+Feb!O86+Mar!O86+Apr!O86+May!O86+June!O86+July!O86+Aug!O86+Sep!O86+Oct!O86+Nov!O86+Dec!O86</f>
        <v>3331</v>
      </c>
      <c r="P86" s="85">
        <f>Jan!P86+Feb!P86+Mar!P86+Apr!P86+May!P86+June!P86+July!P86+Aug!P86+Sep!P86+Oct!P86+Nov!P86+Dec!P86</f>
        <v>0</v>
      </c>
      <c r="Q86" s="85">
        <f>Jan!Q86+Feb!Q86+Mar!Q86+Apr!Q86+May!Q86+June!Q86+July!Q86+Aug!Q86+Sep!Q86+Oct!Q86+Nov!Q86+Dec!Q86</f>
        <v>0</v>
      </c>
      <c r="R86" s="85">
        <f>Jan!R86+Feb!R86+Mar!R86+Apr!R86+May!R86+June!R86+July!R86+Aug!R86+Sep!R86+Oct!R86+Nov!R86+Dec!R86</f>
        <v>0</v>
      </c>
      <c r="S86" s="88">
        <f>Jan!S86+Feb!S86+Mar!S86+Apr!S86+May!S86+June!S86+July!S86+Aug!S86+Sep!S86+Oct!S86+Nov!S86+Dec!S86</f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f>Jan!G87+Feb!G87+Mar!G87+Apr!G87+May!G87+June!G87+July!G87+Aug!G87+Sep!G87+Oct!G87+Nov!G87+Dec!G87</f>
        <v>6802</v>
      </c>
      <c r="H87" s="83">
        <f>Jan!H87+Feb!H87+Mar!H87+Apr!H87+May!H87+June!H87+July!H87+Aug!H87+Sep!H87+Oct!H87+Nov!H87+Dec!H87</f>
        <v>0</v>
      </c>
      <c r="I87" s="84">
        <f>Jan!I87+Feb!I87+Mar!I87+Apr!I87+May!I87+June!I87+July!I87+Aug!I87+Sep!I87+Oct!I87+Nov!I87+Dec!I87</f>
        <v>0</v>
      </c>
      <c r="J87" s="85">
        <f>Jan!J87+Feb!J87+Mar!J87+Apr!J87+May!J87+June!J87+July!J87+Aug!J87+Sep!J87+Oct!J87+Nov!J87+Dec!J87</f>
        <v>0</v>
      </c>
      <c r="K87" s="85">
        <f>Jan!K87+Feb!K87+Mar!K87+Apr!K87+May!K87+June!K87+July!K87+Aug!K87+Sep!K87+Oct!K87+Nov!K87+Dec!K87</f>
        <v>0</v>
      </c>
      <c r="L87" s="85">
        <f>Jan!L87+Feb!L87+Mar!L87+Apr!L87+May!L87+June!L87+July!L87+Aug!L87+Sep!L87+Oct!L87+Nov!L87+Dec!L87</f>
        <v>0</v>
      </c>
      <c r="M87" s="85">
        <f>Jan!M87+Feb!M87+Mar!M87+Apr!M87+May!M87+June!M87+July!M87+Aug!M87+Sep!M87+Oct!M87+Nov!M87+Dec!M87</f>
        <v>124</v>
      </c>
      <c r="N87" s="85">
        <f>Jan!N87+Feb!N87+Mar!N87+Apr!N87+May!N87+June!N87+July!N87+Aug!N87+Sep!N87+Oct!N87+Nov!N87+Dec!N87</f>
        <v>0</v>
      </c>
      <c r="O87" s="85">
        <f>Jan!O87+Feb!O87+Mar!O87+Apr!O87+May!O87+June!O87+July!O87+Aug!O87+Sep!O87+Oct!O87+Nov!O87+Dec!O87</f>
        <v>0</v>
      </c>
      <c r="P87" s="85">
        <f>Jan!P87+Feb!P87+Mar!P87+Apr!P87+May!P87+June!P87+July!P87+Aug!P87+Sep!P87+Oct!P87+Nov!P87+Dec!P87</f>
        <v>0</v>
      </c>
      <c r="Q87" s="85">
        <f>Jan!Q87+Feb!Q87+Mar!Q87+Apr!Q87+May!Q87+June!Q87+July!Q87+Aug!Q87+Sep!Q87+Oct!Q87+Nov!Q87+Dec!Q87</f>
        <v>6678</v>
      </c>
      <c r="R87" s="85">
        <f>Jan!R87+Feb!R87+Mar!R87+Apr!R87+May!R87+June!R87+July!R87+Aug!R87+Sep!R87+Oct!R87+Nov!R87+Dec!R87</f>
        <v>0</v>
      </c>
      <c r="S87" s="88">
        <f>Jan!S87+Feb!S87+Mar!S87+Apr!S87+May!S87+June!S87+July!S87+Aug!S87+Sep!S87+Oct!S87+Nov!S87+Dec!S87</f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f>Jan!G88+Feb!G88+Mar!G88+Apr!G88+May!G88+June!G88+July!G88+Aug!G88+Sep!G88+Oct!G88+Nov!G88+Dec!G88</f>
        <v>77</v>
      </c>
      <c r="H88" s="83">
        <f>Jan!H88+Feb!H88+Mar!H88+Apr!H88+May!H88+June!H88+July!H88+Aug!H88+Sep!H88+Oct!H88+Nov!H88+Dec!H88</f>
        <v>0</v>
      </c>
      <c r="I88" s="84">
        <f>Jan!I88+Feb!I88+Mar!I88+Apr!I88+May!I88+June!I88+July!I88+Aug!I88+Sep!I88+Oct!I88+Nov!I88+Dec!I88</f>
        <v>0</v>
      </c>
      <c r="J88" s="85">
        <f>Jan!J88+Feb!J88+Mar!J88+Apr!J88+May!J88+June!J88+July!J88+Aug!J88+Sep!J88+Oct!J88+Nov!J88+Dec!J88</f>
        <v>0</v>
      </c>
      <c r="K88" s="85">
        <f>Jan!K88+Feb!K88+Mar!K88+Apr!K88+May!K88+June!K88+July!K88+Aug!K88+Sep!K88+Oct!K88+Nov!K88+Dec!K88</f>
        <v>0</v>
      </c>
      <c r="L88" s="85">
        <f>Jan!L88+Feb!L88+Mar!L88+Apr!L88+May!L88+June!L88+July!L88+Aug!L88+Sep!L88+Oct!L88+Nov!L88+Dec!L88</f>
        <v>0</v>
      </c>
      <c r="M88" s="85">
        <f>Jan!M88+Feb!M88+Mar!M88+Apr!M88+May!M88+June!M88+July!M88+Aug!M88+Sep!M88+Oct!M88+Nov!M88+Dec!M88</f>
        <v>77</v>
      </c>
      <c r="N88" s="85">
        <f>Jan!N88+Feb!N88+Mar!N88+Apr!N88+May!N88+June!N88+July!N88+Aug!N88+Sep!N88+Oct!N88+Nov!N88+Dec!N88</f>
        <v>0</v>
      </c>
      <c r="O88" s="85">
        <f>Jan!O88+Feb!O88+Mar!O88+Apr!O88+May!O88+June!O88+July!O88+Aug!O88+Sep!O88+Oct!O88+Nov!O88+Dec!O88</f>
        <v>0</v>
      </c>
      <c r="P88" s="85">
        <f>Jan!P88+Feb!P88+Mar!P88+Apr!P88+May!P88+June!P88+July!P88+Aug!P88+Sep!P88+Oct!P88+Nov!P88+Dec!P88</f>
        <v>0</v>
      </c>
      <c r="Q88" s="85">
        <f>Jan!Q88+Feb!Q88+Mar!Q88+Apr!Q88+May!Q88+June!Q88+July!Q88+Aug!Q88+Sep!Q88+Oct!Q88+Nov!Q88+Dec!Q88</f>
        <v>0</v>
      </c>
      <c r="R88" s="85">
        <f>Jan!R88+Feb!R88+Mar!R88+Apr!R88+May!R88+June!R88+July!R88+Aug!R88+Sep!R88+Oct!R88+Nov!R88+Dec!R88</f>
        <v>0</v>
      </c>
      <c r="S88" s="88">
        <f>Jan!S88+Feb!S88+Mar!S88+Apr!S88+May!S88+June!S88+July!S88+Aug!S88+Sep!S88+Oct!S88+Nov!S88+Dec!S88</f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f>Jan!G89+Feb!G89+Mar!G89+Apr!G89+May!G89+June!G89+July!G89+Aug!G89+Sep!G89+Oct!G89+Nov!G89+Dec!G89</f>
        <v>0</v>
      </c>
      <c r="H89" s="83">
        <f>Jan!H89+Feb!H89+Mar!H89+Apr!H89+May!H89+June!H89+July!H89+Aug!H89+Sep!H89+Oct!H89+Nov!H89+Dec!H89</f>
        <v>0</v>
      </c>
      <c r="I89" s="84">
        <f>Jan!I89+Feb!I89+Mar!I89+Apr!I89+May!I89+June!I89+July!I89+Aug!I89+Sep!I89+Oct!I89+Nov!I89+Dec!I89</f>
        <v>0</v>
      </c>
      <c r="J89" s="85">
        <f>Jan!J89+Feb!J89+Mar!J89+Apr!J89+May!J89+June!J89+July!J89+Aug!J89+Sep!J89+Oct!J89+Nov!J89+Dec!J89</f>
        <v>0</v>
      </c>
      <c r="K89" s="85">
        <f>Jan!K89+Feb!K89+Mar!K89+Apr!K89+May!K89+June!K89+July!K89+Aug!K89+Sep!K89+Oct!K89+Nov!K89+Dec!K89</f>
        <v>0</v>
      </c>
      <c r="L89" s="85">
        <f>Jan!L89+Feb!L89+Mar!L89+Apr!L89+May!L89+June!L89+July!L89+Aug!L89+Sep!L89+Oct!L89+Nov!L89+Dec!L89</f>
        <v>0</v>
      </c>
      <c r="M89" s="85">
        <f>Jan!M89+Feb!M89+Mar!M89+Apr!M89+May!M89+June!M89+July!M89+Aug!M89+Sep!M89+Oct!M89+Nov!M89+Dec!M89</f>
        <v>0</v>
      </c>
      <c r="N89" s="85">
        <f>Jan!N89+Feb!N89+Mar!N89+Apr!N89+May!N89+June!N89+July!N89+Aug!N89+Sep!N89+Oct!N89+Nov!N89+Dec!N89</f>
        <v>0</v>
      </c>
      <c r="O89" s="85">
        <f>Jan!O89+Feb!O89+Mar!O89+Apr!O89+May!O89+June!O89+July!O89+Aug!O89+Sep!O89+Oct!O89+Nov!O89+Dec!O89</f>
        <v>0</v>
      </c>
      <c r="P89" s="85">
        <f>Jan!P89+Feb!P89+Mar!P89+Apr!P89+May!P89+June!P89+July!P89+Aug!P89+Sep!P89+Oct!P89+Nov!P89+Dec!P89</f>
        <v>0</v>
      </c>
      <c r="Q89" s="85">
        <f>Jan!Q89+Feb!Q89+Mar!Q89+Apr!Q89+May!Q89+June!Q89+July!Q89+Aug!Q89+Sep!Q89+Oct!Q89+Nov!Q89+Dec!Q89</f>
        <v>0</v>
      </c>
      <c r="R89" s="85">
        <f>Jan!R89+Feb!R89+Mar!R89+Apr!R89+May!R89+June!R89+July!R89+Aug!R89+Sep!R89+Oct!R89+Nov!R89+Dec!R89</f>
        <v>0</v>
      </c>
      <c r="S89" s="88">
        <f>Jan!S89+Feb!S89+Mar!S89+Apr!S89+May!S89+June!S89+July!S89+Aug!S89+Sep!S89+Oct!S89+Nov!S89+Dec!S89</f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f>Jan!G90+Feb!G90+Mar!G90+Apr!G90+May!G90+June!G90+July!G90+Aug!G90+Sep!G90+Oct!G90+Nov!G90+Dec!G90</f>
        <v>0</v>
      </c>
      <c r="H90" s="83">
        <f>Jan!H90+Feb!H90+Mar!H90+Apr!H90+May!H90+June!H90+July!H90+Aug!H90+Sep!H90+Oct!H90+Nov!H90+Dec!H90</f>
        <v>0</v>
      </c>
      <c r="I90" s="84">
        <f>Jan!I90+Feb!I90+Mar!I90+Apr!I90+May!I90+June!I90+July!I90+Aug!I90+Sep!I90+Oct!I90+Nov!I90+Dec!I90</f>
        <v>0</v>
      </c>
      <c r="J90" s="85">
        <f>Jan!J90+Feb!J90+Mar!J90+Apr!J90+May!J90+June!J90+July!J90+Aug!J90+Sep!J90+Oct!J90+Nov!J90+Dec!J90</f>
        <v>0</v>
      </c>
      <c r="K90" s="85">
        <f>Jan!K90+Feb!K90+Mar!K90+Apr!K90+May!K90+June!K90+July!K90+Aug!K90+Sep!K90+Oct!K90+Nov!K90+Dec!K90</f>
        <v>0</v>
      </c>
      <c r="L90" s="85">
        <f>Jan!L90+Feb!L90+Mar!L90+Apr!L90+May!L90+June!L90+July!L90+Aug!L90+Sep!L90+Oct!L90+Nov!L90+Dec!L90</f>
        <v>0</v>
      </c>
      <c r="M90" s="85">
        <f>Jan!M90+Feb!M90+Mar!M90+Apr!M90+May!M90+June!M90+July!M90+Aug!M90+Sep!M90+Oct!M90+Nov!M90+Dec!M90</f>
        <v>0</v>
      </c>
      <c r="N90" s="85">
        <f>Jan!N90+Feb!N90+Mar!N90+Apr!N90+May!N90+June!N90+July!N90+Aug!N90+Sep!N90+Oct!N90+Nov!N90+Dec!N90</f>
        <v>0</v>
      </c>
      <c r="O90" s="85">
        <f>Jan!O90+Feb!O90+Mar!O90+Apr!O90+May!O90+June!O90+July!O90+Aug!O90+Sep!O90+Oct!O90+Nov!O90+Dec!O90</f>
        <v>0</v>
      </c>
      <c r="P90" s="85">
        <f>Jan!P90+Feb!P90+Mar!P90+Apr!P90+May!P90+June!P90+July!P90+Aug!P90+Sep!P90+Oct!P90+Nov!P90+Dec!P90</f>
        <v>0</v>
      </c>
      <c r="Q90" s="85">
        <f>Jan!Q90+Feb!Q90+Mar!Q90+Apr!Q90+May!Q90+June!Q90+July!Q90+Aug!Q90+Sep!Q90+Oct!Q90+Nov!Q90+Dec!Q90</f>
        <v>0</v>
      </c>
      <c r="R90" s="85">
        <f>Jan!R90+Feb!R90+Mar!R90+Apr!R90+May!R90+June!R90+July!R90+Aug!R90+Sep!R90+Oct!R90+Nov!R90+Dec!R90</f>
        <v>0</v>
      </c>
      <c r="S90" s="88">
        <f>Jan!S90+Feb!S90+Mar!S90+Apr!S90+May!S90+June!S90+July!S90+Aug!S90+Sep!S90+Oct!S90+Nov!S90+Dec!S90</f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f>Jan!G91+Feb!G91+Mar!G91+Apr!G91+May!G91+June!G91+July!G91+Aug!G91+Sep!G91+Oct!G91+Nov!G91+Dec!G91</f>
        <v>0</v>
      </c>
      <c r="H91" s="83">
        <f>Jan!H91+Feb!H91+Mar!H91+Apr!H91+May!H91+June!H91+July!H91+Aug!H91+Sep!H91+Oct!H91+Nov!H91+Dec!H91</f>
        <v>0</v>
      </c>
      <c r="I91" s="84">
        <f>Jan!I91+Feb!I91+Mar!I91+Apr!I91+May!I91+June!I91+July!I91+Aug!I91+Sep!I91+Oct!I91+Nov!I91+Dec!I91</f>
        <v>0</v>
      </c>
      <c r="J91" s="85">
        <f>Jan!J91+Feb!J91+Mar!J91+Apr!J91+May!J91+June!J91+July!J91+Aug!J91+Sep!J91+Oct!J91+Nov!J91+Dec!J91</f>
        <v>0</v>
      </c>
      <c r="K91" s="85">
        <f>Jan!K91+Feb!K91+Mar!K91+Apr!K91+May!K91+June!K91+July!K91+Aug!K91+Sep!K91+Oct!K91+Nov!K91+Dec!K91</f>
        <v>0</v>
      </c>
      <c r="L91" s="85">
        <f>Jan!L91+Feb!L91+Mar!L91+Apr!L91+May!L91+June!L91+July!L91+Aug!L91+Sep!L91+Oct!L91+Nov!L91+Dec!L91</f>
        <v>0</v>
      </c>
      <c r="M91" s="85">
        <f>Jan!M91+Feb!M91+Mar!M91+Apr!M91+May!M91+June!M91+July!M91+Aug!M91+Sep!M91+Oct!M91+Nov!M91+Dec!M91</f>
        <v>0</v>
      </c>
      <c r="N91" s="85">
        <f>Jan!N91+Feb!N91+Mar!N91+Apr!N91+May!N91+June!N91+July!N91+Aug!N91+Sep!N91+Oct!N91+Nov!N91+Dec!N91</f>
        <v>0</v>
      </c>
      <c r="O91" s="85">
        <f>Jan!O91+Feb!O91+Mar!O91+Apr!O91+May!O91+June!O91+July!O91+Aug!O91+Sep!O91+Oct!O91+Nov!O91+Dec!O91</f>
        <v>0</v>
      </c>
      <c r="P91" s="85">
        <f>Jan!P91+Feb!P91+Mar!P91+Apr!P91+May!P91+June!P91+July!P91+Aug!P91+Sep!P91+Oct!P91+Nov!P91+Dec!P91</f>
        <v>0</v>
      </c>
      <c r="Q91" s="85">
        <f>Jan!Q91+Feb!Q91+Mar!Q91+Apr!Q91+May!Q91+June!Q91+July!Q91+Aug!Q91+Sep!Q91+Oct!Q91+Nov!Q91+Dec!Q91</f>
        <v>0</v>
      </c>
      <c r="R91" s="85">
        <f>Jan!R91+Feb!R91+Mar!R91+Apr!R91+May!R91+June!R91+July!R91+Aug!R91+Sep!R91+Oct!R91+Nov!R91+Dec!R91</f>
        <v>0</v>
      </c>
      <c r="S91" s="86">
        <f>Jan!S91+Feb!S91+Mar!S91+Apr!S91+May!S91+June!S91+July!S91+Aug!S91+Sep!S91+Oct!S91+Nov!S91+Dec!S91</f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f>Jan!G92+Feb!G92+Mar!G92+Apr!G92+May!G92+June!G92+July!G92+Aug!G92+Sep!G92+Oct!G92+Nov!G92+Dec!G92</f>
        <v>16138</v>
      </c>
      <c r="H92" s="83">
        <f>Jan!H92+Feb!H92+Mar!H92+Apr!H92+May!H92+June!H92+July!H92+Aug!H92+Sep!H92+Oct!H92+Nov!H92+Dec!H92</f>
        <v>0</v>
      </c>
      <c r="I92" s="84">
        <f>Jan!I92+Feb!I92+Mar!I92+Apr!I92+May!I92+June!I92+July!I92+Aug!I92+Sep!I92+Oct!I92+Nov!I92+Dec!I92</f>
        <v>0</v>
      </c>
      <c r="J92" s="85">
        <f>Jan!J92+Feb!J92+Mar!J92+Apr!J92+May!J92+June!J92+July!J92+Aug!J92+Sep!J92+Oct!J92+Nov!J92+Dec!J92</f>
        <v>0</v>
      </c>
      <c r="K92" s="85">
        <f>Jan!K92+Feb!K92+Mar!K92+Apr!K92+May!K92+June!K92+July!K92+Aug!K92+Sep!K92+Oct!K92+Nov!K92+Dec!K92</f>
        <v>0</v>
      </c>
      <c r="L92" s="85">
        <f>Jan!L92+Feb!L92+Mar!L92+Apr!L92+May!L92+June!L92+July!L92+Aug!L92+Sep!L92+Oct!L92+Nov!L92+Dec!L92</f>
        <v>0</v>
      </c>
      <c r="M92" s="85">
        <f>Jan!M92+Feb!M92+Mar!M92+Apr!M92+May!M92+June!M92+July!M92+Aug!M92+Sep!M92+Oct!M92+Nov!M92+Dec!M92</f>
        <v>9458</v>
      </c>
      <c r="N92" s="85">
        <f>Jan!N92+Feb!N92+Mar!N92+Apr!N92+May!N92+June!N92+July!N92+Aug!N92+Sep!N92+Oct!N92+Nov!N92+Dec!N92</f>
        <v>0</v>
      </c>
      <c r="O92" s="85">
        <f>Jan!O92+Feb!O92+Mar!O92+Apr!O92+May!O92+June!O92+July!O92+Aug!O92+Sep!O92+Oct!O92+Nov!O92+Dec!O92</f>
        <v>4209</v>
      </c>
      <c r="P92" s="85">
        <f>Jan!P92+Feb!P92+Mar!P92+Apr!P92+May!P92+June!P92+July!P92+Aug!P92+Sep!P92+Oct!P92+Nov!P92+Dec!P92</f>
        <v>0</v>
      </c>
      <c r="Q92" s="85">
        <f>Jan!Q92+Feb!Q92+Mar!Q92+Apr!Q92+May!Q92+June!Q92+July!Q92+Aug!Q92+Sep!Q92+Oct!Q92+Nov!Q92+Dec!Q92</f>
        <v>2471</v>
      </c>
      <c r="R92" s="85">
        <f>Jan!R92+Feb!R92+Mar!R92+Apr!R92+May!R92+June!R92+July!R92+Aug!R92+Sep!R92+Oct!R92+Nov!R92+Dec!R92</f>
        <v>0</v>
      </c>
      <c r="S92" s="86">
        <f>Jan!S92+Feb!S92+Mar!S92+Apr!S92+May!S92+June!S92+July!S92+Aug!S92+Sep!S92+Oct!S92+Nov!S92+Dec!S92</f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f>Jan!G93+Feb!G93+Mar!G93+Apr!G93+May!G93+June!G93+July!G93+Aug!G93+Sep!G93+Oct!G93+Nov!G93+Dec!G93</f>
        <v>2763</v>
      </c>
      <c r="H93" s="83">
        <f>Jan!H93+Feb!H93+Mar!H93+Apr!H93+May!H93+June!H93+July!H93+Aug!H93+Sep!H93+Oct!H93+Nov!H93+Dec!H93</f>
        <v>0</v>
      </c>
      <c r="I93" s="84">
        <f>Jan!I93+Feb!I93+Mar!I93+Apr!I93+May!I93+June!I93+July!I93+Aug!I93+Sep!I93+Oct!I93+Nov!I93+Dec!I93</f>
        <v>0</v>
      </c>
      <c r="J93" s="85">
        <f>Jan!J93+Feb!J93+Mar!J93+Apr!J93+May!J93+June!J93+July!J93+Aug!J93+Sep!J93+Oct!J93+Nov!J93+Dec!J93</f>
        <v>0</v>
      </c>
      <c r="K93" s="85">
        <f>Jan!K93+Feb!K93+Mar!K93+Apr!K93+May!K93+June!K93+July!K93+Aug!K93+Sep!K93+Oct!K93+Nov!K93+Dec!K93</f>
        <v>0</v>
      </c>
      <c r="L93" s="85">
        <f>Jan!L93+Feb!L93+Mar!L93+Apr!L93+May!L93+June!L93+July!L93+Aug!L93+Sep!L93+Oct!L93+Nov!L93+Dec!L93</f>
        <v>0</v>
      </c>
      <c r="M93" s="85">
        <f>Jan!M93+Feb!M93+Mar!M93+Apr!M93+May!M93+June!M93+July!M93+Aug!M93+Sep!M93+Oct!M93+Nov!M93+Dec!M93</f>
        <v>41</v>
      </c>
      <c r="N93" s="85">
        <f>Jan!N93+Feb!N93+Mar!N93+Apr!N93+May!N93+June!N93+July!N93+Aug!N93+Sep!N93+Oct!N93+Nov!N93+Dec!N93</f>
        <v>0</v>
      </c>
      <c r="O93" s="85">
        <f>Jan!O93+Feb!O93+Mar!O93+Apr!O93+May!O93+June!O93+July!O93+Aug!O93+Sep!O93+Oct!O93+Nov!O93+Dec!O93</f>
        <v>1483</v>
      </c>
      <c r="P93" s="85">
        <f>Jan!P93+Feb!P93+Mar!P93+Apr!P93+May!P93+June!P93+July!P93+Aug!P93+Sep!P93+Oct!P93+Nov!P93+Dec!P93</f>
        <v>0</v>
      </c>
      <c r="Q93" s="85">
        <f>Jan!Q93+Feb!Q93+Mar!Q93+Apr!Q93+May!Q93+June!Q93+July!Q93+Aug!Q93+Sep!Q93+Oct!Q93+Nov!Q93+Dec!Q93</f>
        <v>1239</v>
      </c>
      <c r="R93" s="85">
        <f>Jan!R93+Feb!R93+Mar!R93+Apr!R93+May!R93+June!R93+July!R93+Aug!R93+Sep!R93+Oct!R93+Nov!R93+Dec!R93</f>
        <v>0</v>
      </c>
      <c r="S93" s="86">
        <f>Jan!S93+Feb!S93+Mar!S93+Apr!S93+May!S93+June!S93+July!S93+Aug!S93+Sep!S93+Oct!S93+Nov!S93+Dec!S93</f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f>Jan!G94+Feb!G94+Mar!G94+Apr!G94+May!G94+June!G94+July!G94+Aug!G94+Sep!G94+Oct!G94+Nov!G94+Dec!G94</f>
        <v>4146</v>
      </c>
      <c r="H94" s="83">
        <f>Jan!H94+Feb!H94+Mar!H94+Apr!H94+May!H94+June!H94+July!H94+Aug!H94+Sep!H94+Oct!H94+Nov!H94+Dec!H94</f>
        <v>0</v>
      </c>
      <c r="I94" s="84">
        <f>Jan!I94+Feb!I94+Mar!I94+Apr!I94+May!I94+June!I94+July!I94+Aug!I94+Sep!I94+Oct!I94+Nov!I94+Dec!I94</f>
        <v>0</v>
      </c>
      <c r="J94" s="85">
        <f>Jan!J94+Feb!J94+Mar!J94+Apr!J94+May!J94+June!J94+July!J94+Aug!J94+Sep!J94+Oct!J94+Nov!J94+Dec!J94</f>
        <v>0</v>
      </c>
      <c r="K94" s="85">
        <f>Jan!K94+Feb!K94+Mar!K94+Apr!K94+May!K94+June!K94+July!K94+Aug!K94+Sep!K94+Oct!K94+Nov!K94+Dec!K94</f>
        <v>0</v>
      </c>
      <c r="L94" s="85">
        <f>Jan!L94+Feb!L94+Mar!L94+Apr!L94+May!L94+June!L94+July!L94+Aug!L94+Sep!L94+Oct!L94+Nov!L94+Dec!L94</f>
        <v>0</v>
      </c>
      <c r="M94" s="85">
        <f>Jan!M94+Feb!M94+Mar!M94+Apr!M94+May!M94+June!M94+July!M94+Aug!M94+Sep!M94+Oct!M94+Nov!M94+Dec!M94</f>
        <v>0</v>
      </c>
      <c r="N94" s="85">
        <f>Jan!N94+Feb!N94+Mar!N94+Apr!N94+May!N94+June!N94+July!N94+Aug!N94+Sep!N94+Oct!N94+Nov!N94+Dec!N94</f>
        <v>0</v>
      </c>
      <c r="O94" s="85">
        <f>Jan!O94+Feb!O94+Mar!O94+Apr!O94+May!O94+June!O94+July!O94+Aug!O94+Sep!O94+Oct!O94+Nov!O94+Dec!O94</f>
        <v>0</v>
      </c>
      <c r="P94" s="85">
        <f>Jan!P94+Feb!P94+Mar!P94+Apr!P94+May!P94+June!P94+July!P94+Aug!P94+Sep!P94+Oct!P94+Nov!P94+Dec!P94</f>
        <v>0</v>
      </c>
      <c r="Q94" s="85">
        <f>Jan!Q94+Feb!Q94+Mar!Q94+Apr!Q94+May!Q94+June!Q94+July!Q94+Aug!Q94+Sep!Q94+Oct!Q94+Nov!Q94+Dec!Q94</f>
        <v>4146</v>
      </c>
      <c r="R94" s="85">
        <f>Jan!R94+Feb!R94+Mar!R94+Apr!R94+May!R94+June!R94+July!R94+Aug!R94+Sep!R94+Oct!R94+Nov!R94+Dec!R94</f>
        <v>0</v>
      </c>
      <c r="S94" s="86">
        <f>Jan!S94+Feb!S94+Mar!S94+Apr!S94+May!S94+June!S94+July!S94+Aug!S94+Sep!S94+Oct!S94+Nov!S94+Dec!S94</f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f>Jan!G95+Feb!G95+Mar!G95+Apr!G95+May!G95+June!G95+July!G95+Aug!G95+Sep!G95+Oct!G95+Nov!G95+Dec!G95</f>
        <v>6209</v>
      </c>
      <c r="H95" s="83">
        <f>Jan!H95+Feb!H95+Mar!H95+Apr!H95+May!H95+June!H95+July!H95+Aug!H95+Sep!H95+Oct!H95+Nov!H95+Dec!H95</f>
        <v>0</v>
      </c>
      <c r="I95" s="84">
        <f>Jan!I95+Feb!I95+Mar!I95+Apr!I95+May!I95+June!I95+July!I95+Aug!I95+Sep!I95+Oct!I95+Nov!I95+Dec!I95</f>
        <v>0</v>
      </c>
      <c r="J95" s="85">
        <f>Jan!J95+Feb!J95+Mar!J95+Apr!J95+May!J95+June!J95+July!J95+Aug!J95+Sep!J95+Oct!J95+Nov!J95+Dec!J95</f>
        <v>0</v>
      </c>
      <c r="K95" s="85">
        <f>Jan!K95+Feb!K95+Mar!K95+Apr!K95+May!K95+June!K95+July!K95+Aug!K95+Sep!K95+Oct!K95+Nov!K95+Dec!K95</f>
        <v>0</v>
      </c>
      <c r="L95" s="85">
        <f>Jan!L95+Feb!L95+Mar!L95+Apr!L95+May!L95+June!L95+July!L95+Aug!L95+Sep!L95+Oct!L95+Nov!L95+Dec!L95</f>
        <v>0</v>
      </c>
      <c r="M95" s="85">
        <f>Jan!M95+Feb!M95+Mar!M95+Apr!M95+May!M95+June!M95+July!M95+Aug!M95+Sep!M95+Oct!M95+Nov!M95+Dec!M95</f>
        <v>0</v>
      </c>
      <c r="N95" s="85">
        <f>Jan!N95+Feb!N95+Mar!N95+Apr!N95+May!N95+June!N95+July!N95+Aug!N95+Sep!N95+Oct!N95+Nov!N95+Dec!N95</f>
        <v>0</v>
      </c>
      <c r="O95" s="85">
        <f>Jan!O95+Feb!O95+Mar!O95+Apr!O95+May!O95+June!O95+July!O95+Aug!O95+Sep!O95+Oct!O95+Nov!O95+Dec!O95</f>
        <v>0</v>
      </c>
      <c r="P95" s="85">
        <f>Jan!P95+Feb!P95+Mar!P95+Apr!P95+May!P95+June!P95+July!P95+Aug!P95+Sep!P95+Oct!P95+Nov!P95+Dec!P95</f>
        <v>0</v>
      </c>
      <c r="Q95" s="85">
        <f>Jan!Q95+Feb!Q95+Mar!Q95+Apr!Q95+May!Q95+June!Q95+July!Q95+Aug!Q95+Sep!Q95+Oct!Q95+Nov!Q95+Dec!Q95</f>
        <v>6209</v>
      </c>
      <c r="R95" s="85">
        <f>Jan!R95+Feb!R95+Mar!R95+Apr!R95+May!R95+June!R95+July!R95+Aug!R95+Sep!R95+Oct!R95+Nov!R95+Dec!R95</f>
        <v>0</v>
      </c>
      <c r="S95" s="86">
        <f>Jan!S95+Feb!S95+Mar!S95+Apr!S95+May!S95+June!S95+July!S95+Aug!S95+Sep!S95+Oct!S95+Nov!S95+Dec!S95</f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f>Jan!G96+Feb!G96+Mar!G96+Apr!G96+May!G96+June!G96+July!G96+Aug!G96+Sep!G96+Oct!G96+Nov!G96+Dec!G96</f>
        <v>0</v>
      </c>
      <c r="H96" s="83">
        <f>Jan!H96+Feb!H96+Mar!H96+Apr!H96+May!H96+June!H96+July!H96+Aug!H96+Sep!H96+Oct!H96+Nov!H96+Dec!H96</f>
        <v>0</v>
      </c>
      <c r="I96" s="84">
        <f>Jan!I96+Feb!I96+Mar!I96+Apr!I96+May!I96+June!I96+July!I96+Aug!I96+Sep!I96+Oct!I96+Nov!I96+Dec!I96</f>
        <v>0</v>
      </c>
      <c r="J96" s="85">
        <f>Jan!J96+Feb!J96+Mar!J96+Apr!J96+May!J96+June!J96+July!J96+Aug!J96+Sep!J96+Oct!J96+Nov!J96+Dec!J96</f>
        <v>0</v>
      </c>
      <c r="K96" s="85">
        <f>Jan!K96+Feb!K96+Mar!K96+Apr!K96+May!K96+June!K96+July!K96+Aug!K96+Sep!K96+Oct!K96+Nov!K96+Dec!K96</f>
        <v>0</v>
      </c>
      <c r="L96" s="85">
        <f>Jan!L96+Feb!L96+Mar!L96+Apr!L96+May!L96+June!L96+July!L96+Aug!L96+Sep!L96+Oct!L96+Nov!L96+Dec!L96</f>
        <v>0</v>
      </c>
      <c r="M96" s="85">
        <f>Jan!M96+Feb!M96+Mar!M96+Apr!M96+May!M96+June!M96+July!M96+Aug!M96+Sep!M96+Oct!M96+Nov!M96+Dec!M96</f>
        <v>0</v>
      </c>
      <c r="N96" s="85">
        <f>Jan!N96+Feb!N96+Mar!N96+Apr!N96+May!N96+June!N96+July!N96+Aug!N96+Sep!N96+Oct!N96+Nov!N96+Dec!N96</f>
        <v>0</v>
      </c>
      <c r="O96" s="85">
        <f>Jan!O96+Feb!O96+Mar!O96+Apr!O96+May!O96+June!O96+July!O96+Aug!O96+Sep!O96+Oct!O96+Nov!O96+Dec!O96</f>
        <v>0</v>
      </c>
      <c r="P96" s="85">
        <f>Jan!P96+Feb!P96+Mar!P96+Apr!P96+May!P96+June!P96+July!P96+Aug!P96+Sep!P96+Oct!P96+Nov!P96+Dec!P96</f>
        <v>0</v>
      </c>
      <c r="Q96" s="85">
        <f>Jan!Q96+Feb!Q96+Mar!Q96+Apr!Q96+May!Q96+June!Q96+July!Q96+Aug!Q96+Sep!Q96+Oct!Q96+Nov!Q96+Dec!Q96</f>
        <v>0</v>
      </c>
      <c r="R96" s="85">
        <f>Jan!R96+Feb!R96+Mar!R96+Apr!R96+May!R96+June!R96+July!R96+Aug!R96+Sep!R96+Oct!R96+Nov!R96+Dec!R96</f>
        <v>0</v>
      </c>
      <c r="S96" s="86">
        <f>Jan!S96+Feb!S96+Mar!S96+Apr!S96+May!S96+June!S96+July!S96+Aug!S96+Sep!S96+Oct!S96+Nov!S96+Dec!S96</f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f>Jan!G97+Feb!G97+Mar!G97+Apr!G97+May!G97+June!G97+July!G97+Aug!G97+Sep!G97+Oct!G97+Nov!G97+Dec!G97</f>
        <v>13395</v>
      </c>
      <c r="H97" s="90">
        <f>Jan!H97+Feb!H97+Mar!H97+Apr!H97+May!H97+June!H97+July!H97+Aug!H97+Sep!H97+Oct!H97+Nov!H97+Dec!H97</f>
        <v>0</v>
      </c>
      <c r="I97" s="91">
        <f>Jan!I97+Feb!I97+Mar!I97+Apr!I97+May!I97+June!I97+July!I97+Aug!I97+Sep!I97+Oct!I97+Nov!I97+Dec!I97</f>
        <v>0</v>
      </c>
      <c r="J97" s="92">
        <f>Jan!J97+Feb!J97+Mar!J97+Apr!J97+May!J97+June!J97+July!J97+Aug!J97+Sep!J97+Oct!J97+Nov!J97+Dec!J97</f>
        <v>0</v>
      </c>
      <c r="K97" s="92">
        <f>Jan!K97+Feb!K97+Mar!K97+Apr!K97+May!K97+June!K97+July!K97+Aug!K97+Sep!K97+Oct!K97+Nov!K97+Dec!K97</f>
        <v>0</v>
      </c>
      <c r="L97" s="92">
        <f>Jan!L97+Feb!L97+Mar!L97+Apr!L97+May!L97+June!L97+July!L97+Aug!L97+Sep!L97+Oct!L97+Nov!L97+Dec!L97</f>
        <v>0</v>
      </c>
      <c r="M97" s="92">
        <f>Jan!M97+Feb!M97+Mar!M97+Apr!M97+May!M97+June!M97+July!M97+Aug!M97+Sep!M97+Oct!M97+Nov!M97+Dec!M97</f>
        <v>0</v>
      </c>
      <c r="N97" s="92">
        <f>Jan!N97+Feb!N97+Mar!N97+Apr!N97+May!N97+June!N97+July!N97+Aug!N97+Sep!N97+Oct!N97+Nov!N97+Dec!N97</f>
        <v>3009</v>
      </c>
      <c r="O97" s="92">
        <f>Jan!O97+Feb!O97+Mar!O97+Apr!O97+May!O97+June!O97+July!O97+Aug!O97+Sep!O97+Oct!O97+Nov!O97+Dec!O97</f>
        <v>0</v>
      </c>
      <c r="P97" s="92">
        <f>Jan!P97+Feb!P97+Mar!P97+Apr!P97+May!P97+June!P97+July!P97+Aug!P97+Sep!P97+Oct!P97+Nov!P97+Dec!P97</f>
        <v>0</v>
      </c>
      <c r="Q97" s="92">
        <f>Jan!Q97+Feb!Q97+Mar!Q97+Apr!Q97+May!Q97+June!Q97+July!Q97+Aug!Q97+Sep!Q97+Oct!Q97+Nov!Q97+Dec!Q97</f>
        <v>10386</v>
      </c>
      <c r="R97" s="92">
        <f>Jan!R97+Feb!R97+Mar!R97+Apr!R97+May!R97+June!R97+July!R97+Aug!R97+Sep!R97+Oct!R97+Nov!R97+Dec!R97</f>
        <v>0</v>
      </c>
      <c r="S97" s="93">
        <f>Jan!S97+Feb!S97+Mar!S97+Apr!S97+May!S97+June!S97+July!S97+Aug!S97+Sep!S97+Oct!S97+Nov!S97+Dec!S97</f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f>Jan!G98+Feb!G98+Mar!G98+Apr!G98+May!G98+June!G98+July!G98+Aug!G98+Sep!G98+Oct!G98+Nov!G98+Dec!G98</f>
        <v>87728</v>
      </c>
      <c r="H98" s="106">
        <f>Jan!H98+Feb!H98+Mar!H98+Apr!H98+May!H98+June!H98+July!H98+Aug!H98+Sep!H98+Oct!H98+Nov!H98+Dec!H98</f>
        <v>0</v>
      </c>
      <c r="I98" s="107">
        <f>Jan!I98+Feb!I98+Mar!I98+Apr!I98+May!I98+June!I98+July!I98+Aug!I98+Sep!I98+Oct!I98+Nov!I98+Dec!I98</f>
        <v>0</v>
      </c>
      <c r="J98" s="108">
        <f>Jan!J98+Feb!J98+Mar!J98+Apr!J98+May!J98+June!J98+July!J98+Aug!J98+Sep!J98+Oct!J98+Nov!J98+Dec!J98</f>
        <v>0</v>
      </c>
      <c r="K98" s="108">
        <f>Jan!K98+Feb!K98+Mar!K98+Apr!K98+May!K98+June!K98+July!K98+Aug!K98+Sep!K98+Oct!K98+Nov!K98+Dec!K98</f>
        <v>0</v>
      </c>
      <c r="L98" s="108">
        <f>Jan!L98+Feb!L98+Mar!L98+Apr!L98+May!L98+June!L98+July!L98+Aug!L98+Sep!L98+Oct!L98+Nov!L98+Dec!L98</f>
        <v>0</v>
      </c>
      <c r="M98" s="108">
        <f>Jan!M98+Feb!M98+Mar!M98+Apr!M98+May!M98+June!M98+July!M98+Aug!M98+Sep!M98+Oct!M98+Nov!M98+Dec!M98</f>
        <v>31361</v>
      </c>
      <c r="N98" s="108">
        <f>Jan!N98+Feb!N98+Mar!N98+Apr!N98+May!N98+June!N98+July!N98+Aug!N98+Sep!N98+Oct!N98+Nov!N98+Dec!N98</f>
        <v>6218</v>
      </c>
      <c r="O98" s="108">
        <f>Jan!O98+Feb!O98+Mar!O98+Apr!O98+May!O98+June!O98+July!O98+Aug!O98+Sep!O98+Oct!O98+Nov!O98+Dec!O98</f>
        <v>10310</v>
      </c>
      <c r="P98" s="108">
        <f>Jan!P98+Feb!P98+Mar!P98+Apr!P98+May!P98+June!P98+July!P98+Aug!P98+Sep!P98+Oct!P98+Nov!P98+Dec!P98</f>
        <v>0</v>
      </c>
      <c r="Q98" s="108">
        <f>Jan!Q98+Feb!Q98+Mar!Q98+Apr!Q98+May!Q98+June!Q98+July!Q98+Aug!Q98+Sep!Q98+Oct!Q98+Nov!Q98+Dec!Q98</f>
        <v>39839</v>
      </c>
      <c r="R98" s="108">
        <f>Jan!R98+Feb!R98+Mar!R98+Apr!R98+May!R98+June!R98+July!R98+Aug!R98+Sep!R98+Oct!R98+Nov!R98+Dec!R98</f>
        <v>0</v>
      </c>
      <c r="S98" s="109">
        <f>Jan!S98+Feb!S98+Mar!S98+Apr!S98+May!S98+June!S98+July!S98+Aug!S98+Sep!S98+Oct!S98+Nov!S98+Dec!S98</f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f>Jan!G100+Feb!G100+Mar!G100+Apr!G100+May!G100+June!G100+July!G100+Aug!G100+Sep!G100+Oct!G100+Nov!G100+Dec!G100</f>
        <v>25</v>
      </c>
      <c r="H100" s="78">
        <f>Jan!H100+Feb!H100+Mar!H100+Apr!H100+May!H100+June!H100+July!H100+Aug!H100+Sep!H100+Oct!H100+Nov!H100+Dec!H100</f>
        <v>0</v>
      </c>
      <c r="I100" s="79">
        <f>Jan!I100+Feb!I100+Mar!I100+Apr!I100+May!I100+June!I100+July!I100+Aug!I100+Sep!I100+Oct!I100+Nov!I100+Dec!I100</f>
        <v>0</v>
      </c>
      <c r="J100" s="80">
        <f>Jan!J100+Feb!J100+Mar!J100+Apr!J100+May!J100+June!J100+July!J100+Aug!J100+Sep!J100+Oct!J100+Nov!J100+Dec!J100</f>
        <v>0</v>
      </c>
      <c r="K100" s="80">
        <f>Jan!K100+Feb!K100+Mar!K100+Apr!K100+May!K100+June!K100+July!K100+Aug!K100+Sep!K100+Oct!K100+Nov!K100+Dec!K100</f>
        <v>0</v>
      </c>
      <c r="L100" s="80">
        <f>Jan!L100+Feb!L100+Mar!L100+Apr!L100+May!L100+June!L100+July!L100+Aug!L100+Sep!L100+Oct!L100+Nov!L100+Dec!L100</f>
        <v>1</v>
      </c>
      <c r="M100" s="80">
        <f>Jan!M100+Feb!M100+Mar!M100+Apr!M100+May!M100+June!M100+July!M100+Aug!M100+Sep!M100+Oct!M100+Nov!M100+Dec!M100</f>
        <v>0</v>
      </c>
      <c r="N100" s="80">
        <f>Jan!N100+Feb!N100+Mar!N100+Apr!N100+May!N100+June!N100+July!N100+Aug!N100+Sep!N100+Oct!N100+Nov!N100+Dec!N100</f>
        <v>0</v>
      </c>
      <c r="O100" s="80">
        <f>Jan!O100+Feb!O100+Mar!O100+Apr!O100+May!O100+June!O100+July!O100+Aug!O100+Sep!O100+Oct!O100+Nov!O100+Dec!O100</f>
        <v>1</v>
      </c>
      <c r="P100" s="80">
        <f>Jan!P100+Feb!P100+Mar!P100+Apr!P100+May!P100+June!P100+July!P100+Aug!P100+Sep!P100+Oct!P100+Nov!P100+Dec!P100</f>
        <v>22</v>
      </c>
      <c r="Q100" s="80">
        <f>Jan!Q100+Feb!Q100+Mar!Q100+Apr!Q100+May!Q100+June!Q100+July!Q100+Aug!Q100+Sep!Q100+Oct!Q100+Nov!Q100+Dec!Q100</f>
        <v>1</v>
      </c>
      <c r="R100" s="80">
        <f>Jan!R100+Feb!R100+Mar!R100+Apr!R100+May!R100+June!R100+July!R100+Aug!R100+Sep!R100+Oct!R100+Nov!R100+Dec!R100</f>
        <v>0</v>
      </c>
      <c r="S100" s="81">
        <f>Jan!S100+Feb!S100+Mar!S100+Apr!S100+May!S100+June!S100+July!S100+Aug!S100+Sep!S100+Oct!S100+Nov!S100+Dec!S100</f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f>Jan!G101+Feb!G101+Mar!G101+Apr!G101+May!G101+June!G101+July!G101+Aug!G101+Sep!G101+Oct!G101+Nov!G101+Dec!G101</f>
        <v>425</v>
      </c>
      <c r="H101" s="83">
        <f>Jan!H101+Feb!H101+Mar!H101+Apr!H101+May!H101+June!H101+July!H101+Aug!H101+Sep!H101+Oct!H101+Nov!H101+Dec!H101</f>
        <v>0</v>
      </c>
      <c r="I101" s="84">
        <f>Jan!I101+Feb!I101+Mar!I101+Apr!I101+May!I101+June!I101+July!I101+Aug!I101+Sep!I101+Oct!I101+Nov!I101+Dec!I101</f>
        <v>0</v>
      </c>
      <c r="J101" s="85">
        <f>Jan!J101+Feb!J101+Mar!J101+Apr!J101+May!J101+June!J101+July!J101+Aug!J101+Sep!J101+Oct!J101+Nov!J101+Dec!J101</f>
        <v>0</v>
      </c>
      <c r="K101" s="85">
        <f>Jan!K101+Feb!K101+Mar!K101+Apr!K101+May!K101+June!K101+July!K101+Aug!K101+Sep!K101+Oct!K101+Nov!K101+Dec!K101</f>
        <v>0</v>
      </c>
      <c r="L101" s="85">
        <f>Jan!L101+Feb!L101+Mar!L101+Apr!L101+May!L101+June!L101+July!L101+Aug!L101+Sep!L101+Oct!L101+Nov!L101+Dec!L101</f>
        <v>0</v>
      </c>
      <c r="M101" s="85">
        <f>Jan!M101+Feb!M101+Mar!M101+Apr!M101+May!M101+June!M101+July!M101+Aug!M101+Sep!M101+Oct!M101+Nov!M101+Dec!M101</f>
        <v>50</v>
      </c>
      <c r="N101" s="85">
        <f>Jan!N101+Feb!N101+Mar!N101+Apr!N101+May!N101+June!N101+July!N101+Aug!N101+Sep!N101+Oct!N101+Nov!N101+Dec!N101</f>
        <v>8</v>
      </c>
      <c r="O101" s="85">
        <f>Jan!O101+Feb!O101+Mar!O101+Apr!O101+May!O101+June!O101+July!O101+Aug!O101+Sep!O101+Oct!O101+Nov!O101+Dec!O101</f>
        <v>0</v>
      </c>
      <c r="P101" s="85">
        <f>Jan!P101+Feb!P101+Mar!P101+Apr!P101+May!P101+June!P101+July!P101+Aug!P101+Sep!P101+Oct!P101+Nov!P101+Dec!P101</f>
        <v>72</v>
      </c>
      <c r="Q101" s="85">
        <f>Jan!Q101+Feb!Q101+Mar!Q101+Apr!Q101+May!Q101+June!Q101+July!Q101+Aug!Q101+Sep!Q101+Oct!Q101+Nov!Q101+Dec!Q101</f>
        <v>295</v>
      </c>
      <c r="R101" s="85">
        <f>Jan!R101+Feb!R101+Mar!R101+Apr!R101+May!R101+June!R101+July!R101+Aug!R101+Sep!R101+Oct!R101+Nov!R101+Dec!R101</f>
        <v>0</v>
      </c>
      <c r="S101" s="86">
        <f>Jan!S101+Feb!S101+Mar!S101+Apr!S101+May!S101+June!S101+July!S101+Aug!S101+Sep!S101+Oct!S101+Nov!S101+Dec!S101</f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f>Jan!G102+Feb!G102+Mar!G102+Apr!G102+May!G102+June!G102+July!G102+Aug!G102+Sep!G102+Oct!G102+Nov!G102+Dec!G102</f>
        <v>2900</v>
      </c>
      <c r="H102" s="83">
        <f>Jan!H102+Feb!H102+Mar!H102+Apr!H102+May!H102+June!H102+July!H102+Aug!H102+Sep!H102+Oct!H102+Nov!H102+Dec!H102</f>
        <v>2429</v>
      </c>
      <c r="I102" s="84">
        <f>Jan!I102+Feb!I102+Mar!I102+Apr!I102+May!I102+June!I102+July!I102+Aug!I102+Sep!I102+Oct!I102+Nov!I102+Dec!I102</f>
        <v>0</v>
      </c>
      <c r="J102" s="85">
        <f>Jan!J102+Feb!J102+Mar!J102+Apr!J102+May!J102+June!J102+July!J102+Aug!J102+Sep!J102+Oct!J102+Nov!J102+Dec!J102</f>
        <v>0</v>
      </c>
      <c r="K102" s="85">
        <f>Jan!K102+Feb!K102+Mar!K102+Apr!K102+May!K102+June!K102+July!K102+Aug!K102+Sep!K102+Oct!K102+Nov!K102+Dec!K102</f>
        <v>0</v>
      </c>
      <c r="L102" s="85">
        <f>Jan!L102+Feb!L102+Mar!L102+Apr!L102+May!L102+June!L102+July!L102+Aug!L102+Sep!L102+Oct!L102+Nov!L102+Dec!L102</f>
        <v>76</v>
      </c>
      <c r="M102" s="85">
        <f>Jan!M102+Feb!M102+Mar!M102+Apr!M102+May!M102+June!M102+July!M102+Aug!M102+Sep!M102+Oct!M102+Nov!M102+Dec!M102</f>
        <v>3</v>
      </c>
      <c r="N102" s="85">
        <f>Jan!N102+Feb!N102+Mar!N102+Apr!N102+May!N102+June!N102+July!N102+Aug!N102+Sep!N102+Oct!N102+Nov!N102+Dec!N102</f>
        <v>34</v>
      </c>
      <c r="O102" s="85">
        <f>Jan!O102+Feb!O102+Mar!O102+Apr!O102+May!O102+June!O102+July!O102+Aug!O102+Sep!O102+Oct!O102+Nov!O102+Dec!O102</f>
        <v>1</v>
      </c>
      <c r="P102" s="85">
        <f>Jan!P102+Feb!P102+Mar!P102+Apr!P102+May!P102+June!P102+July!P102+Aug!P102+Sep!P102+Oct!P102+Nov!P102+Dec!P102</f>
        <v>357</v>
      </c>
      <c r="Q102" s="85">
        <f>Jan!Q102+Feb!Q102+Mar!Q102+Apr!Q102+May!Q102+June!Q102+July!Q102+Aug!Q102+Sep!Q102+Oct!Q102+Nov!Q102+Dec!Q102</f>
        <v>0</v>
      </c>
      <c r="R102" s="85">
        <f>Jan!R102+Feb!R102+Mar!R102+Apr!R102+May!R102+June!R102+July!R102+Aug!R102+Sep!R102+Oct!R102+Nov!R102+Dec!R102</f>
        <v>0</v>
      </c>
      <c r="S102" s="86">
        <f>Jan!S102+Feb!S102+Mar!S102+Apr!S102+May!S102+June!S102+July!S102+Aug!S102+Sep!S102+Oct!S102+Nov!S102+Dec!S102</f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f>Jan!G103+Feb!G103+Mar!G103+Apr!G103+May!G103+June!G103+July!G103+Aug!G103+Sep!G103+Oct!G103+Nov!G103+Dec!G103</f>
        <v>0</v>
      </c>
      <c r="H103" s="83">
        <f>Jan!H103+Feb!H103+Mar!H103+Apr!H103+May!H103+June!H103+July!H103+Aug!H103+Sep!H103+Oct!H103+Nov!H103+Dec!H103</f>
        <v>0</v>
      </c>
      <c r="I103" s="84">
        <f>Jan!I103+Feb!I103+Mar!I103+Apr!I103+May!I103+June!I103+July!I103+Aug!I103+Sep!I103+Oct!I103+Nov!I103+Dec!I103</f>
        <v>0</v>
      </c>
      <c r="J103" s="85">
        <f>Jan!J103+Feb!J103+Mar!J103+Apr!J103+May!J103+June!J103+July!J103+Aug!J103+Sep!J103+Oct!J103+Nov!J103+Dec!J103</f>
        <v>0</v>
      </c>
      <c r="K103" s="85">
        <f>Jan!K103+Feb!K103+Mar!K103+Apr!K103+May!K103+June!K103+July!K103+Aug!K103+Sep!K103+Oct!K103+Nov!K103+Dec!K103</f>
        <v>0</v>
      </c>
      <c r="L103" s="85">
        <f>Jan!L103+Feb!L103+Mar!L103+Apr!L103+May!L103+June!L103+July!L103+Aug!L103+Sep!L103+Oct!L103+Nov!L103+Dec!L103</f>
        <v>0</v>
      </c>
      <c r="M103" s="85">
        <f>Jan!M103+Feb!M103+Mar!M103+Apr!M103+May!M103+June!M103+July!M103+Aug!M103+Sep!M103+Oct!M103+Nov!M103+Dec!M103</f>
        <v>0</v>
      </c>
      <c r="N103" s="85">
        <f>Jan!N103+Feb!N103+Mar!N103+Apr!N103+May!N103+June!N103+July!N103+Aug!N103+Sep!N103+Oct!N103+Nov!N103+Dec!N103</f>
        <v>0</v>
      </c>
      <c r="O103" s="85">
        <f>Jan!O103+Feb!O103+Mar!O103+Apr!O103+May!O103+June!O103+July!O103+Aug!O103+Sep!O103+Oct!O103+Nov!O103+Dec!O103</f>
        <v>0</v>
      </c>
      <c r="P103" s="85">
        <f>Jan!P103+Feb!P103+Mar!P103+Apr!P103+May!P103+June!P103+July!P103+Aug!P103+Sep!P103+Oct!P103+Nov!P103+Dec!P103</f>
        <v>0</v>
      </c>
      <c r="Q103" s="85">
        <f>Jan!Q103+Feb!Q103+Mar!Q103+Apr!Q103+May!Q103+June!Q103+July!Q103+Aug!Q103+Sep!Q103+Oct!Q103+Nov!Q103+Dec!Q103</f>
        <v>0</v>
      </c>
      <c r="R103" s="85">
        <f>Jan!R103+Feb!R103+Mar!R103+Apr!R103+May!R103+June!R103+July!R103+Aug!R103+Sep!R103+Oct!R103+Nov!R103+Dec!R103</f>
        <v>0</v>
      </c>
      <c r="S103" s="86">
        <f>Jan!S103+Feb!S103+Mar!S103+Apr!S103+May!S103+June!S103+July!S103+Aug!S103+Sep!S103+Oct!S103+Nov!S103+Dec!S103</f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f>Jan!G104+Feb!G104+Mar!G104+Apr!G104+May!G104+June!G104+July!G104+Aug!G104+Sep!G104+Oct!G104+Nov!G104+Dec!G104</f>
        <v>0</v>
      </c>
      <c r="H104" s="83">
        <f>Jan!H104+Feb!H104+Mar!H104+Apr!H104+May!H104+June!H104+July!H104+Aug!H104+Sep!H104+Oct!H104+Nov!H104+Dec!H104</f>
        <v>0</v>
      </c>
      <c r="I104" s="84">
        <f>Jan!I104+Feb!I104+Mar!I104+Apr!I104+May!I104+June!I104+July!I104+Aug!I104+Sep!I104+Oct!I104+Nov!I104+Dec!I104</f>
        <v>0</v>
      </c>
      <c r="J104" s="85">
        <f>Jan!J104+Feb!J104+Mar!J104+Apr!J104+May!J104+June!J104+July!J104+Aug!J104+Sep!J104+Oct!J104+Nov!J104+Dec!J104</f>
        <v>0</v>
      </c>
      <c r="K104" s="85">
        <f>Jan!K104+Feb!K104+Mar!K104+Apr!K104+May!K104+June!K104+July!K104+Aug!K104+Sep!K104+Oct!K104+Nov!K104+Dec!K104</f>
        <v>0</v>
      </c>
      <c r="L104" s="85">
        <f>Jan!L104+Feb!L104+Mar!L104+Apr!L104+May!L104+June!L104+July!L104+Aug!L104+Sep!L104+Oct!L104+Nov!L104+Dec!L104</f>
        <v>0</v>
      </c>
      <c r="M104" s="85">
        <f>Jan!M104+Feb!M104+Mar!M104+Apr!M104+May!M104+June!M104+July!M104+Aug!M104+Sep!M104+Oct!M104+Nov!M104+Dec!M104</f>
        <v>0</v>
      </c>
      <c r="N104" s="85">
        <f>Jan!N104+Feb!N104+Mar!N104+Apr!N104+May!N104+June!N104+July!N104+Aug!N104+Sep!N104+Oct!N104+Nov!N104+Dec!N104</f>
        <v>0</v>
      </c>
      <c r="O104" s="85">
        <f>Jan!O104+Feb!O104+Mar!O104+Apr!O104+May!O104+June!O104+July!O104+Aug!O104+Sep!O104+Oct!O104+Nov!O104+Dec!O104</f>
        <v>0</v>
      </c>
      <c r="P104" s="85">
        <f>Jan!P104+Feb!P104+Mar!P104+Apr!P104+May!P104+June!P104+July!P104+Aug!P104+Sep!P104+Oct!P104+Nov!P104+Dec!P104</f>
        <v>0</v>
      </c>
      <c r="Q104" s="85">
        <f>Jan!Q104+Feb!Q104+Mar!Q104+Apr!Q104+May!Q104+June!Q104+July!Q104+Aug!Q104+Sep!Q104+Oct!Q104+Nov!Q104+Dec!Q104</f>
        <v>0</v>
      </c>
      <c r="R104" s="85">
        <f>Jan!R104+Feb!R104+Mar!R104+Apr!R104+May!R104+June!R104+July!R104+Aug!R104+Sep!R104+Oct!R104+Nov!R104+Dec!R104</f>
        <v>0</v>
      </c>
      <c r="S104" s="86">
        <f>Jan!S104+Feb!S104+Mar!S104+Apr!S104+May!S104+June!S104+July!S104+Aug!S104+Sep!S104+Oct!S104+Nov!S104+Dec!S104</f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f>Jan!G105+Feb!G105+Mar!G105+Apr!G105+May!G105+June!G105+July!G105+Aug!G105+Sep!G105+Oct!G105+Nov!G105+Dec!G105</f>
        <v>1240</v>
      </c>
      <c r="H105" s="83">
        <f>Jan!H105+Feb!H105+Mar!H105+Apr!H105+May!H105+June!H105+July!H105+Aug!H105+Sep!H105+Oct!H105+Nov!H105+Dec!H105</f>
        <v>0</v>
      </c>
      <c r="I105" s="84">
        <f>Jan!I105+Feb!I105+Mar!I105+Apr!I105+May!I105+June!I105+July!I105+Aug!I105+Sep!I105+Oct!I105+Nov!I105+Dec!I105</f>
        <v>0</v>
      </c>
      <c r="J105" s="85">
        <f>Jan!J105+Feb!J105+Mar!J105+Apr!J105+May!J105+June!J105+July!J105+Aug!J105+Sep!J105+Oct!J105+Nov!J105+Dec!J105</f>
        <v>0</v>
      </c>
      <c r="K105" s="85">
        <f>Jan!K105+Feb!K105+Mar!K105+Apr!K105+May!K105+June!K105+July!K105+Aug!K105+Sep!K105+Oct!K105+Nov!K105+Dec!K105</f>
        <v>0</v>
      </c>
      <c r="L105" s="85">
        <f>Jan!L105+Feb!L105+Mar!L105+Apr!L105+May!L105+June!L105+July!L105+Aug!L105+Sep!L105+Oct!L105+Nov!L105+Dec!L105</f>
        <v>0</v>
      </c>
      <c r="M105" s="85">
        <f>Jan!M105+Feb!M105+Mar!M105+Apr!M105+May!M105+June!M105+July!M105+Aug!M105+Sep!M105+Oct!M105+Nov!M105+Dec!M105</f>
        <v>660</v>
      </c>
      <c r="N105" s="85">
        <f>Jan!N105+Feb!N105+Mar!N105+Apr!N105+May!N105+June!N105+July!N105+Aug!N105+Sep!N105+Oct!N105+Nov!N105+Dec!N105</f>
        <v>0</v>
      </c>
      <c r="O105" s="85">
        <f>Jan!O105+Feb!O105+Mar!O105+Apr!O105+May!O105+June!O105+July!O105+Aug!O105+Sep!O105+Oct!O105+Nov!O105+Dec!O105</f>
        <v>460</v>
      </c>
      <c r="P105" s="85">
        <f>Jan!P105+Feb!P105+Mar!P105+Apr!P105+May!P105+June!P105+July!P105+Aug!P105+Sep!P105+Oct!P105+Nov!P105+Dec!P105</f>
        <v>0</v>
      </c>
      <c r="Q105" s="85">
        <f>Jan!Q105+Feb!Q105+Mar!Q105+Apr!Q105+May!Q105+June!Q105+July!Q105+Aug!Q105+Sep!Q105+Oct!Q105+Nov!Q105+Dec!Q105</f>
        <v>120</v>
      </c>
      <c r="R105" s="85">
        <f>Jan!R105+Feb!R105+Mar!R105+Apr!R105+May!R105+June!R105+July!R105+Aug!R105+Sep!R105+Oct!R105+Nov!R105+Dec!R105</f>
        <v>0</v>
      </c>
      <c r="S105" s="86">
        <f>Jan!S105+Feb!S105+Mar!S105+Apr!S105+May!S105+June!S105+July!S105+Aug!S105+Sep!S105+Oct!S105+Nov!S105+Dec!S105</f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f>Jan!G106+Feb!G106+Mar!G106+Apr!G106+May!G106+June!G106+July!G106+Aug!G106+Sep!G106+Oct!G106+Nov!G106+Dec!G106</f>
        <v>700</v>
      </c>
      <c r="H106" s="83">
        <f>Jan!H106+Feb!H106+Mar!H106+Apr!H106+May!H106+June!H106+July!H106+Aug!H106+Sep!H106+Oct!H106+Nov!H106+Dec!H106</f>
        <v>0</v>
      </c>
      <c r="I106" s="84">
        <f>Jan!I106+Feb!I106+Mar!I106+Apr!I106+May!I106+June!I106+July!I106+Aug!I106+Sep!I106+Oct!I106+Nov!I106+Dec!I106</f>
        <v>1</v>
      </c>
      <c r="J106" s="85">
        <f>Jan!J106+Feb!J106+Mar!J106+Apr!J106+May!J106+June!J106+July!J106+Aug!J106+Sep!J106+Oct!J106+Nov!J106+Dec!J106</f>
        <v>0</v>
      </c>
      <c r="K106" s="85">
        <f>Jan!K106+Feb!K106+Mar!K106+Apr!K106+May!K106+June!K106+July!K106+Aug!K106+Sep!K106+Oct!K106+Nov!K106+Dec!K106</f>
        <v>0</v>
      </c>
      <c r="L106" s="85">
        <f>Jan!L106+Feb!L106+Mar!L106+Apr!L106+May!L106+June!L106+July!L106+Aug!L106+Sep!L106+Oct!L106+Nov!L106+Dec!L106</f>
        <v>2</v>
      </c>
      <c r="M106" s="85">
        <f>Jan!M106+Feb!M106+Mar!M106+Apr!M106+May!M106+June!M106+July!M106+Aug!M106+Sep!M106+Oct!M106+Nov!M106+Dec!M106</f>
        <v>118</v>
      </c>
      <c r="N106" s="85">
        <f>Jan!N106+Feb!N106+Mar!N106+Apr!N106+May!N106+June!N106+July!N106+Aug!N106+Sep!N106+Oct!N106+Nov!N106+Dec!N106</f>
        <v>2</v>
      </c>
      <c r="O106" s="85">
        <f>Jan!O106+Feb!O106+Mar!O106+Apr!O106+May!O106+June!O106+July!O106+Aug!O106+Sep!O106+Oct!O106+Nov!O106+Dec!O106</f>
        <v>570</v>
      </c>
      <c r="P106" s="85">
        <f>Jan!P106+Feb!P106+Mar!P106+Apr!P106+May!P106+June!P106+July!P106+Aug!P106+Sep!P106+Oct!P106+Nov!P106+Dec!P106</f>
        <v>6</v>
      </c>
      <c r="Q106" s="85">
        <f>Jan!Q106+Feb!Q106+Mar!Q106+Apr!Q106+May!Q106+June!Q106+July!Q106+Aug!Q106+Sep!Q106+Oct!Q106+Nov!Q106+Dec!Q106</f>
        <v>1</v>
      </c>
      <c r="R106" s="85">
        <f>Jan!R106+Feb!R106+Mar!R106+Apr!R106+May!R106+June!R106+July!R106+Aug!R106+Sep!R106+Oct!R106+Nov!R106+Dec!R106</f>
        <v>0</v>
      </c>
      <c r="S106" s="86">
        <f>Jan!S106+Feb!S106+Mar!S106+Apr!S106+May!S106+June!S106+July!S106+Aug!S106+Sep!S106+Oct!S106+Nov!S106+Dec!S106</f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f>Jan!G107+Feb!G107+Mar!G107+Apr!G107+May!G107+June!G107+July!G107+Aug!G107+Sep!G107+Oct!G107+Nov!G107+Dec!G107</f>
        <v>327</v>
      </c>
      <c r="H107" s="90">
        <f>Jan!H107+Feb!H107+Mar!H107+Apr!H107+May!H107+June!H107+July!H107+Aug!H107+Sep!H107+Oct!H107+Nov!H107+Dec!H107</f>
        <v>0</v>
      </c>
      <c r="I107" s="91">
        <f>Jan!I107+Feb!I107+Mar!I107+Apr!I107+May!I107+June!I107+July!I107+Aug!I107+Sep!I107+Oct!I107+Nov!I107+Dec!I107</f>
        <v>0</v>
      </c>
      <c r="J107" s="92">
        <f>Jan!J107+Feb!J107+Mar!J107+Apr!J107+May!J107+June!J107+July!J107+Aug!J107+Sep!J107+Oct!J107+Nov!J107+Dec!J107</f>
        <v>0</v>
      </c>
      <c r="K107" s="92">
        <f>Jan!K107+Feb!K107+Mar!K107+Apr!K107+May!K107+June!K107+July!K107+Aug!K107+Sep!K107+Oct!K107+Nov!K107+Dec!K107</f>
        <v>0</v>
      </c>
      <c r="L107" s="92">
        <f>Jan!L107+Feb!L107+Mar!L107+Apr!L107+May!L107+June!L107+July!L107+Aug!L107+Sep!L107+Oct!L107+Nov!L107+Dec!L107</f>
        <v>0</v>
      </c>
      <c r="M107" s="92">
        <f>Jan!M107+Feb!M107+Mar!M107+Apr!M107+May!M107+June!M107+July!M107+Aug!M107+Sep!M107+Oct!M107+Nov!M107+Dec!M107</f>
        <v>0</v>
      </c>
      <c r="N107" s="92">
        <f>Jan!N107+Feb!N107+Mar!N107+Apr!N107+May!N107+June!N107+July!N107+Aug!N107+Sep!N107+Oct!N107+Nov!N107+Dec!N107</f>
        <v>0</v>
      </c>
      <c r="O107" s="92">
        <f>Jan!O107+Feb!O107+Mar!O107+Apr!O107+May!O107+June!O107+July!O107+Aug!O107+Sep!O107+Oct!O107+Nov!O107+Dec!O107</f>
        <v>0</v>
      </c>
      <c r="P107" s="92">
        <f>Jan!P107+Feb!P107+Mar!P107+Apr!P107+May!P107+June!P107+July!P107+Aug!P107+Sep!P107+Oct!P107+Nov!P107+Dec!P107</f>
        <v>0</v>
      </c>
      <c r="Q107" s="92">
        <f>Jan!Q107+Feb!Q107+Mar!Q107+Apr!Q107+May!Q107+June!Q107+July!Q107+Aug!Q107+Sep!Q107+Oct!Q107+Nov!Q107+Dec!Q107</f>
        <v>327</v>
      </c>
      <c r="R107" s="92">
        <f>Jan!R107+Feb!R107+Mar!R107+Apr!R107+May!R107+June!R107+July!R107+Aug!R107+Sep!R107+Oct!R107+Nov!R107+Dec!R107</f>
        <v>0</v>
      </c>
      <c r="S107" s="93">
        <f>Jan!S107+Feb!S107+Mar!S107+Apr!S107+May!S107+June!S107+July!S107+Aug!S107+Sep!S107+Oct!S107+Nov!S107+Dec!S107</f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f>Jan!G108+Feb!G108+Mar!G108+Apr!G108+May!G108+June!G108+July!G108+Aug!G108+Sep!G108+Oct!G108+Nov!G108+Dec!G108</f>
        <v>5617</v>
      </c>
      <c r="H108" s="95">
        <f>Jan!H108+Feb!H108+Mar!H108+Apr!H108+May!H108+June!H108+July!H108+Aug!H108+Sep!H108+Oct!H108+Nov!H108+Dec!H108</f>
        <v>2429</v>
      </c>
      <c r="I108" s="96">
        <f>Jan!I108+Feb!I108+Mar!I108+Apr!I108+May!I108+June!I108+July!I108+Aug!I108+Sep!I108+Oct!I108+Nov!I108+Dec!I108</f>
        <v>1</v>
      </c>
      <c r="J108" s="97">
        <f>Jan!J108+Feb!J108+Mar!J108+Apr!J108+May!J108+June!J108+July!J108+Aug!J108+Sep!J108+Oct!J108+Nov!J108+Dec!J108</f>
        <v>0</v>
      </c>
      <c r="K108" s="97">
        <f>Jan!K108+Feb!K108+Mar!K108+Apr!K108+May!K108+June!K108+July!K108+Aug!K108+Sep!K108+Oct!K108+Nov!K108+Dec!K108</f>
        <v>0</v>
      </c>
      <c r="L108" s="97">
        <f>Jan!L108+Feb!L108+Mar!L108+Apr!L108+May!L108+June!L108+July!L108+Aug!L108+Sep!L108+Oct!L108+Nov!L108+Dec!L108</f>
        <v>79</v>
      </c>
      <c r="M108" s="97">
        <f>Jan!M108+Feb!M108+Mar!M108+Apr!M108+May!M108+June!M108+July!M108+Aug!M108+Sep!M108+Oct!M108+Nov!M108+Dec!M108</f>
        <v>831</v>
      </c>
      <c r="N108" s="97">
        <f>Jan!N108+Feb!N108+Mar!N108+Apr!N108+May!N108+June!N108+July!N108+Aug!N108+Sep!N108+Oct!N108+Nov!N108+Dec!N108</f>
        <v>44</v>
      </c>
      <c r="O108" s="97">
        <f>Jan!O108+Feb!O108+Mar!O108+Apr!O108+May!O108+June!O108+July!O108+Aug!O108+Sep!O108+Oct!O108+Nov!O108+Dec!O108</f>
        <v>1032</v>
      </c>
      <c r="P108" s="97">
        <f>Jan!P108+Feb!P108+Mar!P108+Apr!P108+May!P108+June!P108+July!P108+Aug!P108+Sep!P108+Oct!P108+Nov!P108+Dec!P108</f>
        <v>457</v>
      </c>
      <c r="Q108" s="97">
        <f>Jan!Q108+Feb!Q108+Mar!Q108+Apr!Q108+May!Q108+June!Q108+July!Q108+Aug!Q108+Sep!Q108+Oct!Q108+Nov!Q108+Dec!Q108</f>
        <v>744</v>
      </c>
      <c r="R108" s="97">
        <f>Jan!R108+Feb!R108+Mar!R108+Apr!R108+May!R108+June!R108+July!R108+Aug!R108+Sep!R108+Oct!R108+Nov!R108+Dec!R108</f>
        <v>0</v>
      </c>
      <c r="S108" s="98">
        <f>Jan!S108+Feb!S108+Mar!S108+Apr!S108+May!S108+June!S108+July!S108+Aug!S108+Sep!S108+Oct!S108+Nov!S108+Dec!S108</f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f>Jan!G110+Feb!G110+Mar!G110+Apr!G110+May!G110+June!G110+July!G110+Aug!G110+Sep!G110+Oct!G110+Nov!G110+Dec!G110</f>
        <v>3096594</v>
      </c>
      <c r="H110" s="116">
        <f>Jan!H110+Feb!H110+Mar!H110+Apr!H110+May!H110+June!H110+July!H110+Aug!H110+Sep!H110+Oct!H110+Nov!H110+Dec!H110</f>
        <v>548205</v>
      </c>
      <c r="I110" s="117">
        <f>Jan!I110+Feb!I110+Mar!I110+Apr!I110+May!I110+June!I110+July!I110+Aug!I110+Sep!I110+Oct!I110+Nov!I110+Dec!I110</f>
        <v>852156</v>
      </c>
      <c r="J110" s="118">
        <f>Jan!J110+Feb!J110+Mar!J110+Apr!J110+May!J110+June!J110+July!J110+Aug!J110+Sep!J110+Oct!J110+Nov!J110+Dec!J110</f>
        <v>94622</v>
      </c>
      <c r="K110" s="118">
        <f>Jan!K110+Feb!K110+Mar!K110+Apr!K110+May!K110+June!K110+July!K110+Aug!K110+Sep!K110+Oct!K110+Nov!K110+Dec!K110</f>
        <v>111172</v>
      </c>
      <c r="L110" s="118">
        <f>Jan!L110+Feb!L110+Mar!L110+Apr!L110+May!L110+June!L110+July!L110+Aug!L110+Sep!L110+Oct!L110+Nov!L110+Dec!L110</f>
        <v>507597</v>
      </c>
      <c r="M110" s="118">
        <f>Jan!M110+Feb!M110+Mar!M110+Apr!M110+May!M110+June!M110+July!M110+Aug!M110+Sep!M110+Oct!M110+Nov!M110+Dec!M110</f>
        <v>79351</v>
      </c>
      <c r="N110" s="118">
        <f>Jan!N110+Feb!N110+Mar!N110+Apr!N110+May!N110+June!N110+July!N110+Aug!N110+Sep!N110+Oct!N110+Nov!N110+Dec!N110</f>
        <v>146675</v>
      </c>
      <c r="O110" s="118">
        <f>Jan!O110+Feb!O110+Mar!O110+Apr!O110+May!O110+June!O110+July!O110+Aug!O110+Sep!O110+Oct!O110+Nov!O110+Dec!O110</f>
        <v>184089</v>
      </c>
      <c r="P110" s="118">
        <f>Jan!P110+Feb!P110+Mar!P110+Apr!P110+May!P110+June!P110+July!P110+Aug!P110+Sep!P110+Oct!P110+Nov!P110+Dec!P110</f>
        <v>49752</v>
      </c>
      <c r="Q110" s="118">
        <f>Jan!Q110+Feb!Q110+Mar!Q110+Apr!Q110+May!Q110+June!Q110+July!Q110+Aug!Q110+Sep!Q110+Oct!Q110+Nov!Q110+Dec!Q110</f>
        <v>162136</v>
      </c>
      <c r="R110" s="118">
        <f>Jan!R110+Feb!R110+Mar!R110+Apr!R110+May!R110+June!R110+July!R110+Aug!R110+Sep!R110+Oct!R110+Nov!R110+Dec!R110</f>
        <v>279657</v>
      </c>
      <c r="S110" s="119">
        <f>Jan!S110+Feb!S110+Mar!S110+Apr!S110+May!S110+June!S110+July!S110+Aug!S110+Sep!S110+Oct!S110+Nov!S110+Dec!S110</f>
        <v>81182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f>Jan!G111+Feb!G111+Mar!G111+Apr!G111+May!G111+June!G111+July!G111+Aug!G111+Sep!G111+Oct!G111+Nov!G111+Dec!G111</f>
        <v>238482</v>
      </c>
      <c r="H111" s="121">
        <f>Jan!H111+Feb!H111+Mar!H111+Apr!H111+May!H111+June!H111+July!H111+Aug!H111+Sep!H111+Oct!H111+Nov!H111+Dec!H111</f>
        <v>60820</v>
      </c>
      <c r="I111" s="122">
        <f>Jan!I111+Feb!I111+Mar!I111+Apr!I111+May!I111+June!I111+July!I111+Aug!I111+Sep!I111+Oct!I111+Nov!I111+Dec!I111</f>
        <v>34164</v>
      </c>
      <c r="J111" s="123">
        <f>Jan!J111+Feb!J111+Mar!J111+Apr!J111+May!J111+June!J111+July!J111+Aug!J111+Sep!J111+Oct!J111+Nov!J111+Dec!J111</f>
        <v>8632</v>
      </c>
      <c r="K111" s="123">
        <f>Jan!K111+Feb!K111+Mar!K111+Apr!K111+May!K111+June!K111+July!K111+Aug!K111+Sep!K111+Oct!K111+Nov!K111+Dec!K111</f>
        <v>102</v>
      </c>
      <c r="L111" s="123">
        <f>Jan!L111+Feb!L111+Mar!L111+Apr!L111+May!L111+June!L111+July!L111+Aug!L111+Sep!L111+Oct!L111+Nov!L111+Dec!L111</f>
        <v>105848</v>
      </c>
      <c r="M111" s="123">
        <f>Jan!M111+Feb!M111+Mar!M111+Apr!M111+May!M111+June!M111+July!M111+Aug!M111+Sep!M111+Oct!M111+Nov!M111+Dec!M111</f>
        <v>9397</v>
      </c>
      <c r="N111" s="123">
        <f>Jan!N111+Feb!N111+Mar!N111+Apr!N111+May!N111+June!N111+July!N111+Aug!N111+Sep!N111+Oct!N111+Nov!N111+Dec!N111</f>
        <v>1948</v>
      </c>
      <c r="O111" s="123">
        <f>Jan!O111+Feb!O111+Mar!O111+Apr!O111+May!O111+June!O111+July!O111+Aug!O111+Sep!O111+Oct!O111+Nov!O111+Dec!O111</f>
        <v>539</v>
      </c>
      <c r="P111" s="123">
        <f>Jan!P111+Feb!P111+Mar!P111+Apr!P111+May!P111+June!P111+July!P111+Aug!P111+Sep!P111+Oct!P111+Nov!P111+Dec!P111</f>
        <v>440</v>
      </c>
      <c r="Q111" s="123">
        <f>Jan!Q111+Feb!Q111+Mar!Q111+Apr!Q111+May!Q111+June!Q111+July!Q111+Aug!Q111+Sep!Q111+Oct!Q111+Nov!Q111+Dec!Q111</f>
        <v>10036</v>
      </c>
      <c r="R111" s="123">
        <f>Jan!R111+Feb!R111+Mar!R111+Apr!R111+May!R111+June!R111+July!R111+Aug!R111+Sep!R111+Oct!R111+Nov!R111+Dec!R111</f>
        <v>3341</v>
      </c>
      <c r="S111" s="124">
        <f>Jan!S111+Feb!S111+Mar!S111+Apr!S111+May!S111+June!S111+July!S111+Aug!S111+Sep!S111+Oct!S111+Nov!S111+Dec!S111</f>
        <v>3215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0:E110"/>
    <mergeCell ref="B111:D111"/>
    <mergeCell ref="B44:E44"/>
    <mergeCell ref="B68:E68"/>
    <mergeCell ref="B75:E75"/>
    <mergeCell ref="B77:E77"/>
    <mergeCell ref="B98:E98"/>
    <mergeCell ref="B108:E108"/>
    <mergeCell ref="B56:E56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12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B1:Y117"/>
  <sheetViews>
    <sheetView showGridLines="0" zoomScale="130" zoomScaleNormal="130" zoomScaleSheetLayoutView="115" workbookViewId="0">
      <pane xSplit="5" ySplit="4" topLeftCell="F100" activePane="bottomRight" state="frozen"/>
      <selection activeCell="V17" sqref="V17"/>
      <selection pane="topRight" activeCell="V17" sqref="V17"/>
      <selection pane="bottomLeft" activeCell="V17" sqref="V17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94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11876</v>
      </c>
      <c r="H6" s="78">
        <v>1484</v>
      </c>
      <c r="I6" s="79">
        <v>0</v>
      </c>
      <c r="J6" s="80"/>
      <c r="K6" s="80"/>
      <c r="L6" s="80">
        <v>6380</v>
      </c>
      <c r="M6" s="80">
        <v>82</v>
      </c>
      <c r="N6" s="80">
        <v>1440</v>
      </c>
      <c r="O6" s="80">
        <v>1290</v>
      </c>
      <c r="P6" s="80">
        <v>515</v>
      </c>
      <c r="Q6" s="80">
        <v>685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1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1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3803</v>
      </c>
      <c r="H8" s="83">
        <v>3803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73</v>
      </c>
      <c r="H9" s="83">
        <v>73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687</v>
      </c>
      <c r="H10" s="83">
        <v>0</v>
      </c>
      <c r="I10" s="84">
        <v>0</v>
      </c>
      <c r="J10" s="85">
        <v>5</v>
      </c>
      <c r="K10" s="85">
        <v>2</v>
      </c>
      <c r="L10" s="85">
        <v>0</v>
      </c>
      <c r="M10" s="85">
        <v>15</v>
      </c>
      <c r="N10" s="85">
        <v>5</v>
      </c>
      <c r="O10" s="85">
        <v>181</v>
      </c>
      <c r="P10" s="85">
        <v>70</v>
      </c>
      <c r="Q10" s="85">
        <v>409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7790</v>
      </c>
      <c r="H11" s="83">
        <v>2583</v>
      </c>
      <c r="I11" s="84">
        <v>4358</v>
      </c>
      <c r="J11" s="85">
        <v>0</v>
      </c>
      <c r="K11" s="85">
        <v>0</v>
      </c>
      <c r="L11" s="85">
        <v>0</v>
      </c>
      <c r="M11" s="85">
        <v>10</v>
      </c>
      <c r="N11" s="85">
        <v>15</v>
      </c>
      <c r="O11" s="85">
        <v>824</v>
      </c>
      <c r="P11" s="85">
        <v>0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2348</v>
      </c>
      <c r="H13" s="83">
        <v>2297</v>
      </c>
      <c r="I13" s="84">
        <v>0</v>
      </c>
      <c r="J13" s="85">
        <v>0</v>
      </c>
      <c r="K13" s="85">
        <v>0</v>
      </c>
      <c r="L13" s="85">
        <v>0</v>
      </c>
      <c r="M13" s="85">
        <v>15</v>
      </c>
      <c r="N13" s="85">
        <v>0</v>
      </c>
      <c r="O13" s="85">
        <v>36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125</v>
      </c>
      <c r="H14" s="83">
        <v>123</v>
      </c>
      <c r="I14" s="84">
        <v>0</v>
      </c>
      <c r="J14" s="85">
        <v>0</v>
      </c>
      <c r="K14" s="85">
        <v>0</v>
      </c>
      <c r="L14" s="85">
        <v>0</v>
      </c>
      <c r="M14" s="85">
        <v>2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6006</v>
      </c>
      <c r="H15" s="83">
        <v>0</v>
      </c>
      <c r="I15" s="84">
        <v>0</v>
      </c>
      <c r="J15" s="85"/>
      <c r="K15" s="85"/>
      <c r="L15" s="85">
        <v>4531</v>
      </c>
      <c r="M15" s="85">
        <v>141</v>
      </c>
      <c r="N15" s="85">
        <v>117</v>
      </c>
      <c r="O15" s="85">
        <v>340</v>
      </c>
      <c r="P15" s="85">
        <v>129</v>
      </c>
      <c r="Q15" s="85">
        <v>748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10210</v>
      </c>
      <c r="H16" s="83">
        <v>4342</v>
      </c>
      <c r="I16" s="84">
        <v>2840</v>
      </c>
      <c r="J16" s="85">
        <v>1076</v>
      </c>
      <c r="K16" s="85">
        <v>0</v>
      </c>
      <c r="L16" s="85">
        <v>0</v>
      </c>
      <c r="M16" s="85">
        <v>110</v>
      </c>
      <c r="N16" s="85">
        <v>521</v>
      </c>
      <c r="O16" s="85">
        <v>496</v>
      </c>
      <c r="P16" s="85">
        <v>0</v>
      </c>
      <c r="Q16" s="85">
        <v>825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4011</v>
      </c>
      <c r="H17" s="83">
        <v>0</v>
      </c>
      <c r="I17" s="84">
        <v>3554</v>
      </c>
      <c r="J17" s="85">
        <v>132</v>
      </c>
      <c r="K17" s="85">
        <v>6</v>
      </c>
      <c r="L17" s="85">
        <v>0</v>
      </c>
      <c r="M17" s="85">
        <v>8</v>
      </c>
      <c r="N17" s="85">
        <v>303</v>
      </c>
      <c r="O17" s="85">
        <v>0</v>
      </c>
      <c r="P17" s="85">
        <v>0</v>
      </c>
      <c r="Q17" s="85">
        <v>8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5</v>
      </c>
      <c r="H18" s="83">
        <v>0</v>
      </c>
      <c r="I18" s="84">
        <v>0</v>
      </c>
      <c r="J18" s="85">
        <v>0</v>
      </c>
      <c r="K18" s="85">
        <v>0</v>
      </c>
      <c r="L18" s="85">
        <v>5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6148</v>
      </c>
      <c r="H19" s="83">
        <v>560</v>
      </c>
      <c r="I19" s="84">
        <v>960</v>
      </c>
      <c r="J19" s="85">
        <v>217</v>
      </c>
      <c r="K19" s="85">
        <v>91</v>
      </c>
      <c r="L19" s="85">
        <v>3089</v>
      </c>
      <c r="M19" s="85">
        <v>12</v>
      </c>
      <c r="N19" s="85">
        <v>236</v>
      </c>
      <c r="O19" s="85">
        <v>790</v>
      </c>
      <c r="P19" s="85">
        <v>72</v>
      </c>
      <c r="Q19" s="85">
        <v>121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1050</v>
      </c>
      <c r="H20" s="83">
        <v>11</v>
      </c>
      <c r="I20" s="84">
        <v>242</v>
      </c>
      <c r="J20" s="85">
        <v>82</v>
      </c>
      <c r="K20" s="85">
        <v>0</v>
      </c>
      <c r="L20" s="85">
        <v>691</v>
      </c>
      <c r="M20" s="85">
        <v>4</v>
      </c>
      <c r="N20" s="85">
        <v>1</v>
      </c>
      <c r="O20" s="85">
        <v>0</v>
      </c>
      <c r="P20" s="85">
        <v>3</v>
      </c>
      <c r="Q20" s="85">
        <v>16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1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1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5544</v>
      </c>
      <c r="H23" s="83">
        <v>429</v>
      </c>
      <c r="I23" s="84">
        <v>0</v>
      </c>
      <c r="J23" s="85"/>
      <c r="K23" s="85"/>
      <c r="L23" s="85">
        <v>5006</v>
      </c>
      <c r="M23" s="85">
        <v>109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0</v>
      </c>
      <c r="H24" s="83">
        <v>0</v>
      </c>
      <c r="I24" s="84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0</v>
      </c>
      <c r="H25" s="83">
        <v>0</v>
      </c>
      <c r="I25" s="84">
        <v>0</v>
      </c>
      <c r="J25" s="85"/>
      <c r="K25" s="85"/>
      <c r="L25" s="85">
        <v>0</v>
      </c>
      <c r="M25" s="85"/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3486</v>
      </c>
      <c r="H26" s="83">
        <v>72</v>
      </c>
      <c r="I26" s="84">
        <v>1542</v>
      </c>
      <c r="J26" s="85">
        <v>268</v>
      </c>
      <c r="K26" s="85">
        <v>12</v>
      </c>
      <c r="L26" s="85">
        <v>1464</v>
      </c>
      <c r="M26" s="85">
        <v>2</v>
      </c>
      <c r="N26" s="85">
        <v>4</v>
      </c>
      <c r="O26" s="85">
        <v>5</v>
      </c>
      <c r="P26" s="85">
        <v>2</v>
      </c>
      <c r="Q26" s="85">
        <v>77</v>
      </c>
      <c r="R26" s="85">
        <v>34</v>
      </c>
      <c r="S26" s="86">
        <v>4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1795</v>
      </c>
      <c r="H27" s="83">
        <v>37</v>
      </c>
      <c r="I27" s="84">
        <v>588</v>
      </c>
      <c r="J27" s="85">
        <v>308</v>
      </c>
      <c r="K27" s="85">
        <v>0</v>
      </c>
      <c r="L27" s="85">
        <v>778</v>
      </c>
      <c r="M27" s="85">
        <v>12</v>
      </c>
      <c r="N27" s="85">
        <v>10</v>
      </c>
      <c r="O27" s="85">
        <v>11</v>
      </c>
      <c r="P27" s="85">
        <v>4</v>
      </c>
      <c r="Q27" s="85">
        <v>47</v>
      </c>
      <c r="R27" s="85">
        <v>0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15378</v>
      </c>
      <c r="H28" s="83">
        <v>6547</v>
      </c>
      <c r="I28" s="84">
        <v>3948</v>
      </c>
      <c r="J28" s="85">
        <v>1109</v>
      </c>
      <c r="K28" s="85">
        <v>499</v>
      </c>
      <c r="L28" s="85">
        <v>0</v>
      </c>
      <c r="M28" s="85">
        <v>310</v>
      </c>
      <c r="N28" s="85">
        <v>601</v>
      </c>
      <c r="O28" s="85">
        <v>0</v>
      </c>
      <c r="P28" s="85">
        <v>0</v>
      </c>
      <c r="Q28" s="85">
        <v>2364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13433</v>
      </c>
      <c r="H29" s="83">
        <v>7454</v>
      </c>
      <c r="I29" s="84">
        <v>1627</v>
      </c>
      <c r="J29" s="85">
        <v>211</v>
      </c>
      <c r="K29" s="85">
        <v>0</v>
      </c>
      <c r="L29" s="85">
        <v>1127</v>
      </c>
      <c r="M29" s="85">
        <v>232</v>
      </c>
      <c r="N29" s="85">
        <v>176</v>
      </c>
      <c r="O29" s="85">
        <v>1716</v>
      </c>
      <c r="P29" s="85">
        <v>62</v>
      </c>
      <c r="Q29" s="85">
        <v>828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43</v>
      </c>
      <c r="H30" s="83">
        <v>0</v>
      </c>
      <c r="I30" s="84">
        <v>0</v>
      </c>
      <c r="J30" s="85"/>
      <c r="K30" s="85"/>
      <c r="L30" s="85">
        <v>0</v>
      </c>
      <c r="M30" s="85">
        <v>43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11481</v>
      </c>
      <c r="H31" s="83">
        <v>6068</v>
      </c>
      <c r="I31" s="84">
        <v>3665</v>
      </c>
      <c r="J31" s="85">
        <v>337</v>
      </c>
      <c r="K31" s="85">
        <v>0</v>
      </c>
      <c r="L31" s="85">
        <v>0</v>
      </c>
      <c r="M31" s="85">
        <v>12</v>
      </c>
      <c r="N31" s="85">
        <v>100</v>
      </c>
      <c r="O31" s="85">
        <v>405</v>
      </c>
      <c r="P31" s="85">
        <v>24</v>
      </c>
      <c r="Q31" s="85">
        <v>870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0</v>
      </c>
      <c r="H32" s="83">
        <v>0</v>
      </c>
      <c r="I32" s="84">
        <v>0</v>
      </c>
      <c r="J32" s="85"/>
      <c r="K32" s="85"/>
      <c r="L32" s="85">
        <v>0</v>
      </c>
      <c r="M32" s="85"/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4831</v>
      </c>
      <c r="H33" s="83">
        <v>2419</v>
      </c>
      <c r="I33" s="84">
        <v>0</v>
      </c>
      <c r="J33" s="85"/>
      <c r="K33" s="85"/>
      <c r="L33" s="85">
        <v>0</v>
      </c>
      <c r="M33" s="85">
        <v>10</v>
      </c>
      <c r="N33" s="85">
        <v>851</v>
      </c>
      <c r="O33" s="85">
        <v>1297</v>
      </c>
      <c r="P33" s="85">
        <v>117</v>
      </c>
      <c r="Q33" s="85">
        <v>137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0</v>
      </c>
      <c r="H34" s="83">
        <v>0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101</v>
      </c>
      <c r="H35" s="83">
        <v>101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0</v>
      </c>
      <c r="H36" s="90">
        <v>0</v>
      </c>
      <c r="I36" s="91">
        <v>0</v>
      </c>
      <c r="J36" s="92"/>
      <c r="K36" s="92"/>
      <c r="L36" s="92">
        <v>0</v>
      </c>
      <c r="M36" s="92"/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110226</v>
      </c>
      <c r="H37" s="95">
        <v>38403</v>
      </c>
      <c r="I37" s="96">
        <v>23324</v>
      </c>
      <c r="J37" s="97">
        <v>3745</v>
      </c>
      <c r="K37" s="97">
        <v>610</v>
      </c>
      <c r="L37" s="97">
        <v>23071</v>
      </c>
      <c r="M37" s="97">
        <v>1129</v>
      </c>
      <c r="N37" s="97">
        <v>4380</v>
      </c>
      <c r="O37" s="97">
        <v>7391</v>
      </c>
      <c r="P37" s="97">
        <v>998</v>
      </c>
      <c r="Q37" s="97">
        <v>7137</v>
      </c>
      <c r="R37" s="97">
        <v>34</v>
      </c>
      <c r="S37" s="98">
        <v>4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-1</v>
      </c>
      <c r="H38" s="83">
        <v>0</v>
      </c>
      <c r="I38" s="84">
        <v>-1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7427</v>
      </c>
      <c r="H39" s="83">
        <v>0</v>
      </c>
      <c r="I39" s="84">
        <v>7409</v>
      </c>
      <c r="J39" s="85">
        <v>0</v>
      </c>
      <c r="K39" s="85">
        <v>0</v>
      </c>
      <c r="L39" s="85">
        <v>0</v>
      </c>
      <c r="M39" s="85">
        <v>0</v>
      </c>
      <c r="N39" s="85">
        <v>18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6330</v>
      </c>
      <c r="H40" s="83">
        <v>0</v>
      </c>
      <c r="I40" s="84">
        <v>5244</v>
      </c>
      <c r="J40" s="85">
        <v>806</v>
      </c>
      <c r="K40" s="85">
        <v>231</v>
      </c>
      <c r="L40" s="85">
        <v>0</v>
      </c>
      <c r="M40" s="85">
        <v>0</v>
      </c>
      <c r="N40" s="85">
        <v>49</v>
      </c>
      <c r="O40" s="85">
        <v>0</v>
      </c>
      <c r="P40" s="85">
        <v>0</v>
      </c>
      <c r="Q40" s="85">
        <v>0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9104</v>
      </c>
      <c r="H41" s="83">
        <v>0</v>
      </c>
      <c r="I41" s="84">
        <v>8771</v>
      </c>
      <c r="J41" s="85">
        <v>215</v>
      </c>
      <c r="K41" s="85">
        <v>57</v>
      </c>
      <c r="L41" s="85">
        <v>0</v>
      </c>
      <c r="M41" s="85"/>
      <c r="N41" s="85">
        <v>8</v>
      </c>
      <c r="O41" s="85">
        <v>49</v>
      </c>
      <c r="P41" s="85">
        <v>0</v>
      </c>
      <c r="Q41" s="85">
        <v>4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0</v>
      </c>
      <c r="H42" s="83">
        <v>0</v>
      </c>
      <c r="I42" s="84">
        <v>0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646</v>
      </c>
      <c r="H43" s="90">
        <v>0</v>
      </c>
      <c r="I43" s="91">
        <v>644</v>
      </c>
      <c r="J43" s="92">
        <v>0</v>
      </c>
      <c r="K43" s="92">
        <v>0</v>
      </c>
      <c r="L43" s="92">
        <v>0</v>
      </c>
      <c r="M43" s="92">
        <v>0</v>
      </c>
      <c r="N43" s="92">
        <v>2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23506</v>
      </c>
      <c r="H44" s="95">
        <v>0</v>
      </c>
      <c r="I44" s="96">
        <v>22067</v>
      </c>
      <c r="J44" s="97">
        <v>1021</v>
      </c>
      <c r="K44" s="97">
        <v>288</v>
      </c>
      <c r="L44" s="97">
        <v>0</v>
      </c>
      <c r="M44" s="97">
        <v>0</v>
      </c>
      <c r="N44" s="97">
        <v>77</v>
      </c>
      <c r="O44" s="97">
        <v>49</v>
      </c>
      <c r="P44" s="97">
        <v>0</v>
      </c>
      <c r="Q44" s="97">
        <v>4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/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0</v>
      </c>
      <c r="H46" s="83">
        <v>0</v>
      </c>
      <c r="I46" s="84">
        <v>0</v>
      </c>
      <c r="J46" s="85"/>
      <c r="K46" s="85"/>
      <c r="L46" s="85">
        <v>0</v>
      </c>
      <c r="M46" s="85"/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5565</v>
      </c>
      <c r="H47" s="83">
        <v>0</v>
      </c>
      <c r="I47" s="84">
        <v>0</v>
      </c>
      <c r="J47" s="85">
        <v>0</v>
      </c>
      <c r="K47" s="85">
        <v>0</v>
      </c>
      <c r="L47" s="85">
        <v>5441</v>
      </c>
      <c r="M47" s="85">
        <v>120</v>
      </c>
      <c r="N47" s="85">
        <v>0</v>
      </c>
      <c r="O47" s="85">
        <v>0</v>
      </c>
      <c r="P47" s="85">
        <v>4</v>
      </c>
      <c r="Q47" s="85">
        <v>0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2122</v>
      </c>
      <c r="H48" s="83">
        <v>0</v>
      </c>
      <c r="I48" s="84">
        <v>0</v>
      </c>
      <c r="J48" s="85">
        <v>0</v>
      </c>
      <c r="K48" s="85">
        <v>0</v>
      </c>
      <c r="L48" s="85">
        <v>1922</v>
      </c>
      <c r="M48" s="85">
        <v>85</v>
      </c>
      <c r="N48" s="85">
        <v>17</v>
      </c>
      <c r="O48" s="85">
        <v>0</v>
      </c>
      <c r="P48" s="85">
        <v>98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15645</v>
      </c>
      <c r="H49" s="90">
        <v>0</v>
      </c>
      <c r="I49" s="91">
        <v>0</v>
      </c>
      <c r="J49" s="92">
        <v>0</v>
      </c>
      <c r="K49" s="92">
        <v>0</v>
      </c>
      <c r="L49" s="92">
        <v>11356</v>
      </c>
      <c r="M49" s="92">
        <v>1170</v>
      </c>
      <c r="N49" s="92">
        <v>359</v>
      </c>
      <c r="O49" s="92">
        <v>1980</v>
      </c>
      <c r="P49" s="92">
        <v>780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23332</v>
      </c>
      <c r="H50" s="95">
        <v>0</v>
      </c>
      <c r="I50" s="96">
        <v>0</v>
      </c>
      <c r="J50" s="97">
        <v>0</v>
      </c>
      <c r="K50" s="97">
        <v>0</v>
      </c>
      <c r="L50" s="97">
        <v>18719</v>
      </c>
      <c r="M50" s="97">
        <v>1375</v>
      </c>
      <c r="N50" s="97">
        <v>376</v>
      </c>
      <c r="O50" s="97">
        <v>1980</v>
      </c>
      <c r="P50" s="97">
        <v>882</v>
      </c>
      <c r="Q50" s="97">
        <v>0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2</v>
      </c>
      <c r="H51" s="83">
        <v>0</v>
      </c>
      <c r="I51" s="84">
        <v>0</v>
      </c>
      <c r="J51" s="85">
        <v>1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1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5939</v>
      </c>
      <c r="H52" s="83">
        <v>0</v>
      </c>
      <c r="I52" s="84">
        <v>206</v>
      </c>
      <c r="J52" s="85">
        <v>5</v>
      </c>
      <c r="K52" s="85">
        <v>4003</v>
      </c>
      <c r="L52" s="85">
        <v>0</v>
      </c>
      <c r="M52" s="85">
        <v>0</v>
      </c>
      <c r="N52" s="85">
        <v>1053</v>
      </c>
      <c r="O52" s="85">
        <v>672</v>
      </c>
      <c r="P52" s="85">
        <v>0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13913</v>
      </c>
      <c r="H53" s="90">
        <v>0</v>
      </c>
      <c r="I53" s="91">
        <v>11410</v>
      </c>
      <c r="J53" s="92">
        <v>986</v>
      </c>
      <c r="K53" s="92">
        <v>1299</v>
      </c>
      <c r="L53" s="92">
        <v>0</v>
      </c>
      <c r="M53" s="92">
        <v>0</v>
      </c>
      <c r="N53" s="92">
        <v>56</v>
      </c>
      <c r="O53" s="92">
        <v>0</v>
      </c>
      <c r="P53" s="92">
        <v>0</v>
      </c>
      <c r="Q53" s="92">
        <v>162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19854</v>
      </c>
      <c r="H54" s="95">
        <v>0</v>
      </c>
      <c r="I54" s="96">
        <v>11616</v>
      </c>
      <c r="J54" s="97">
        <v>992</v>
      </c>
      <c r="K54" s="97">
        <v>5302</v>
      </c>
      <c r="L54" s="97">
        <v>0</v>
      </c>
      <c r="M54" s="97">
        <v>0</v>
      </c>
      <c r="N54" s="97">
        <v>1109</v>
      </c>
      <c r="O54" s="97">
        <v>672</v>
      </c>
      <c r="P54" s="97">
        <v>1</v>
      </c>
      <c r="Q54" s="97">
        <v>162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/>
      <c r="K55" s="102"/>
      <c r="L55" s="102">
        <v>0</v>
      </c>
      <c r="M55" s="102">
        <v>0</v>
      </c>
      <c r="N55" s="102">
        <v>0</v>
      </c>
      <c r="O55" s="102"/>
      <c r="P55" s="102"/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4288</v>
      </c>
      <c r="H57" s="83">
        <v>0</v>
      </c>
      <c r="I57" s="84">
        <v>0</v>
      </c>
      <c r="J57" s="85"/>
      <c r="K57" s="85"/>
      <c r="L57" s="85">
        <v>0</v>
      </c>
      <c r="M57" s="85">
        <v>0</v>
      </c>
      <c r="N57" s="85">
        <v>1456</v>
      </c>
      <c r="O57" s="85">
        <v>2602</v>
      </c>
      <c r="P57" s="85">
        <v>103</v>
      </c>
      <c r="Q57" s="85">
        <v>122</v>
      </c>
      <c r="R57" s="85">
        <v>0</v>
      </c>
      <c r="S57" s="87">
        <v>5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1468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1468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671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671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489</v>
      </c>
      <c r="H60" s="83">
        <v>0</v>
      </c>
      <c r="I60" s="84">
        <v>0</v>
      </c>
      <c r="J60" s="85"/>
      <c r="K60" s="85"/>
      <c r="L60" s="85">
        <v>0</v>
      </c>
      <c r="M60" s="85">
        <v>275</v>
      </c>
      <c r="N60" s="85">
        <v>0</v>
      </c>
      <c r="O60" s="85"/>
      <c r="P60" s="85"/>
      <c r="Q60" s="85">
        <v>0</v>
      </c>
      <c r="R60" s="85">
        <v>0</v>
      </c>
      <c r="S60" s="87">
        <v>214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800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2</v>
      </c>
      <c r="R61" s="85">
        <v>0</v>
      </c>
      <c r="S61" s="87">
        <v>798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3149</v>
      </c>
      <c r="H62" s="83">
        <v>0</v>
      </c>
      <c r="I62" s="84">
        <v>0</v>
      </c>
      <c r="J62" s="85">
        <v>0</v>
      </c>
      <c r="K62" s="85">
        <v>1104</v>
      </c>
      <c r="L62" s="85">
        <v>0</v>
      </c>
      <c r="M62" s="85">
        <v>0</v>
      </c>
      <c r="N62" s="85">
        <v>1036</v>
      </c>
      <c r="O62" s="85">
        <v>434</v>
      </c>
      <c r="P62" s="85">
        <v>45</v>
      </c>
      <c r="Q62" s="85">
        <v>511</v>
      </c>
      <c r="R62" s="85">
        <v>0</v>
      </c>
      <c r="S62" s="87">
        <v>19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4161</v>
      </c>
      <c r="H63" s="83">
        <v>0</v>
      </c>
      <c r="I63" s="84">
        <v>0</v>
      </c>
      <c r="J63" s="85">
        <v>0</v>
      </c>
      <c r="K63" s="85">
        <v>1301</v>
      </c>
      <c r="L63" s="85">
        <v>0</v>
      </c>
      <c r="M63" s="85">
        <v>0</v>
      </c>
      <c r="N63" s="85">
        <v>669</v>
      </c>
      <c r="O63" s="85">
        <v>1097</v>
      </c>
      <c r="P63" s="85">
        <v>180</v>
      </c>
      <c r="Q63" s="85">
        <v>74</v>
      </c>
      <c r="R63" s="85">
        <v>0</v>
      </c>
      <c r="S63" s="87">
        <v>840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121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121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2603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1748</v>
      </c>
      <c r="P65" s="85">
        <v>0</v>
      </c>
      <c r="Q65" s="85">
        <v>0</v>
      </c>
      <c r="R65" s="85">
        <v>0</v>
      </c>
      <c r="S65" s="87">
        <v>855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110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110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577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104</v>
      </c>
      <c r="O67" s="92">
        <v>3</v>
      </c>
      <c r="P67" s="92">
        <v>5</v>
      </c>
      <c r="Q67" s="92">
        <v>362</v>
      </c>
      <c r="R67" s="92">
        <v>0</v>
      </c>
      <c r="S67" s="104">
        <v>103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18437</v>
      </c>
      <c r="H68" s="106">
        <v>0</v>
      </c>
      <c r="I68" s="107">
        <v>0</v>
      </c>
      <c r="J68" s="108">
        <v>0</v>
      </c>
      <c r="K68" s="108">
        <v>2405</v>
      </c>
      <c r="L68" s="108">
        <v>0</v>
      </c>
      <c r="M68" s="108">
        <v>275</v>
      </c>
      <c r="N68" s="108">
        <v>3265</v>
      </c>
      <c r="O68" s="108">
        <v>5884</v>
      </c>
      <c r="P68" s="108">
        <v>333</v>
      </c>
      <c r="Q68" s="108">
        <v>1071</v>
      </c>
      <c r="R68" s="108">
        <v>0</v>
      </c>
      <c r="S68" s="109">
        <v>5204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0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10529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52</v>
      </c>
      <c r="O70" s="85">
        <v>0</v>
      </c>
      <c r="P70" s="85">
        <v>919</v>
      </c>
      <c r="Q70" s="85">
        <v>86</v>
      </c>
      <c r="R70" s="85">
        <v>9472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5354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148</v>
      </c>
      <c r="O71" s="85">
        <v>0</v>
      </c>
      <c r="P71" s="85">
        <v>138</v>
      </c>
      <c r="Q71" s="85">
        <v>106</v>
      </c>
      <c r="R71" s="85">
        <v>4962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6652</v>
      </c>
      <c r="H72" s="83">
        <v>0</v>
      </c>
      <c r="I72" s="84">
        <v>0</v>
      </c>
      <c r="J72" s="85"/>
      <c r="K72" s="85"/>
      <c r="L72" s="85">
        <v>0</v>
      </c>
      <c r="M72" s="85">
        <v>47</v>
      </c>
      <c r="N72" s="85">
        <v>153</v>
      </c>
      <c r="O72" s="85">
        <v>241</v>
      </c>
      <c r="P72" s="85">
        <v>25</v>
      </c>
      <c r="Q72" s="85">
        <v>21</v>
      </c>
      <c r="R72" s="85">
        <v>6165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0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194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194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22729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47</v>
      </c>
      <c r="N75" s="108">
        <v>353</v>
      </c>
      <c r="O75" s="108">
        <v>241</v>
      </c>
      <c r="P75" s="108">
        <v>1082</v>
      </c>
      <c r="Q75" s="108">
        <v>213</v>
      </c>
      <c r="R75" s="108">
        <v>20793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0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0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0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0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299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266</v>
      </c>
      <c r="P79" s="80">
        <v>0</v>
      </c>
      <c r="Q79" s="80">
        <v>33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18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18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376</v>
      </c>
      <c r="H81" s="83">
        <v>0</v>
      </c>
      <c r="I81" s="84">
        <v>0</v>
      </c>
      <c r="J81" s="85"/>
      <c r="K81" s="85"/>
      <c r="L81" s="85">
        <v>0</v>
      </c>
      <c r="M81" s="85">
        <v>248</v>
      </c>
      <c r="N81" s="85">
        <v>0</v>
      </c>
      <c r="O81" s="85"/>
      <c r="P81" s="85"/>
      <c r="Q81" s="85">
        <v>128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8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8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1706</v>
      </c>
      <c r="H85" s="83">
        <v>0</v>
      </c>
      <c r="I85" s="84">
        <v>0</v>
      </c>
      <c r="J85" s="85"/>
      <c r="K85" s="85"/>
      <c r="L85" s="85">
        <v>0</v>
      </c>
      <c r="M85" s="85">
        <v>1150</v>
      </c>
      <c r="N85" s="85">
        <v>143</v>
      </c>
      <c r="O85" s="85"/>
      <c r="P85" s="85"/>
      <c r="Q85" s="85">
        <v>413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124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124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450</v>
      </c>
      <c r="H87" s="83">
        <v>0</v>
      </c>
      <c r="I87" s="84">
        <v>0</v>
      </c>
      <c r="J87" s="85"/>
      <c r="K87" s="85"/>
      <c r="L87" s="85">
        <v>0</v>
      </c>
      <c r="M87" s="85">
        <v>11</v>
      </c>
      <c r="N87" s="85">
        <v>0</v>
      </c>
      <c r="O87" s="85"/>
      <c r="P87" s="85"/>
      <c r="Q87" s="85">
        <v>439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/>
      <c r="K88" s="85"/>
      <c r="L88" s="85">
        <v>0</v>
      </c>
      <c r="M88" s="85">
        <v>0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921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600</v>
      </c>
      <c r="N92" s="85">
        <v>0</v>
      </c>
      <c r="O92" s="85">
        <v>116</v>
      </c>
      <c r="P92" s="85">
        <v>0</v>
      </c>
      <c r="Q92" s="85">
        <v>205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72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24</v>
      </c>
      <c r="P93" s="85">
        <v>0</v>
      </c>
      <c r="Q93" s="85">
        <v>48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213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213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433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433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470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109</v>
      </c>
      <c r="O97" s="92"/>
      <c r="P97" s="92"/>
      <c r="Q97" s="92">
        <v>361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5090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2009</v>
      </c>
      <c r="N98" s="108">
        <v>252</v>
      </c>
      <c r="O98" s="108">
        <v>530</v>
      </c>
      <c r="P98" s="108">
        <v>0</v>
      </c>
      <c r="Q98" s="108">
        <v>2299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32</v>
      </c>
      <c r="H101" s="83">
        <v>0</v>
      </c>
      <c r="I101" s="84">
        <v>0</v>
      </c>
      <c r="J101" s="85"/>
      <c r="K101" s="85"/>
      <c r="L101" s="85">
        <v>0</v>
      </c>
      <c r="M101" s="85">
        <v>30</v>
      </c>
      <c r="N101" s="85">
        <v>0</v>
      </c>
      <c r="O101" s="85">
        <v>0</v>
      </c>
      <c r="P101" s="85">
        <v>0</v>
      </c>
      <c r="Q101" s="85">
        <v>2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9</v>
      </c>
      <c r="H102" s="83">
        <v>9</v>
      </c>
      <c r="I102" s="84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24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24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101</v>
      </c>
      <c r="H106" s="83">
        <v>0</v>
      </c>
      <c r="I106" s="84">
        <v>0</v>
      </c>
      <c r="J106" s="85"/>
      <c r="K106" s="85"/>
      <c r="L106" s="85">
        <v>0</v>
      </c>
      <c r="M106" s="85">
        <v>0</v>
      </c>
      <c r="N106" s="85">
        <v>0</v>
      </c>
      <c r="O106" s="85">
        <v>96</v>
      </c>
      <c r="P106" s="85">
        <v>5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48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48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214</v>
      </c>
      <c r="H108" s="95">
        <v>9</v>
      </c>
      <c r="I108" s="96">
        <v>0</v>
      </c>
      <c r="J108" s="97">
        <v>0</v>
      </c>
      <c r="K108" s="97">
        <v>0</v>
      </c>
      <c r="L108" s="97">
        <v>0</v>
      </c>
      <c r="M108" s="97">
        <v>30</v>
      </c>
      <c r="N108" s="97">
        <v>0</v>
      </c>
      <c r="O108" s="97">
        <v>120</v>
      </c>
      <c r="P108" s="97">
        <v>5</v>
      </c>
      <c r="Q108" s="97">
        <v>50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223388</v>
      </c>
      <c r="H110" s="116">
        <v>38412</v>
      </c>
      <c r="I110" s="117">
        <v>57007</v>
      </c>
      <c r="J110" s="118">
        <v>5758</v>
      </c>
      <c r="K110" s="118">
        <v>8605</v>
      </c>
      <c r="L110" s="118">
        <v>41790</v>
      </c>
      <c r="M110" s="118">
        <v>4865</v>
      </c>
      <c r="N110" s="118">
        <v>9812</v>
      </c>
      <c r="O110" s="118">
        <v>16867</v>
      </c>
      <c r="P110" s="118">
        <v>3301</v>
      </c>
      <c r="Q110" s="118">
        <v>10936</v>
      </c>
      <c r="R110" s="118">
        <v>20827</v>
      </c>
      <c r="S110" s="119">
        <v>5208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13176</v>
      </c>
      <c r="H111" s="121">
        <v>622</v>
      </c>
      <c r="I111" s="122">
        <v>3016</v>
      </c>
      <c r="J111" s="123">
        <v>658</v>
      </c>
      <c r="K111" s="123">
        <v>12</v>
      </c>
      <c r="L111" s="123">
        <v>7944</v>
      </c>
      <c r="M111" s="123">
        <v>127</v>
      </c>
      <c r="N111" s="123">
        <v>121</v>
      </c>
      <c r="O111" s="123">
        <v>19</v>
      </c>
      <c r="P111" s="123">
        <v>14</v>
      </c>
      <c r="Q111" s="123">
        <v>502</v>
      </c>
      <c r="R111" s="123">
        <v>34</v>
      </c>
      <c r="S111" s="124">
        <v>107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Q1:S1"/>
    <mergeCell ref="B4:E4"/>
    <mergeCell ref="B111:D111"/>
    <mergeCell ref="B37:E37"/>
    <mergeCell ref="B50:E50"/>
    <mergeCell ref="B110:E110"/>
    <mergeCell ref="B54:E54"/>
    <mergeCell ref="B56:E56"/>
    <mergeCell ref="B44:E44"/>
    <mergeCell ref="B68:E68"/>
    <mergeCell ref="B75:E75"/>
    <mergeCell ref="B98:E98"/>
    <mergeCell ref="B108:E108"/>
    <mergeCell ref="B77:E77"/>
  </mergeCells>
  <phoneticPr fontId="3" type="noConversion"/>
  <conditionalFormatting sqref="S2">
    <cfRule type="cellIs" dxfId="11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886F-434F-4017-A750-A88F4F9C6322}">
  <sheetPr>
    <tabColor theme="1"/>
    <pageSetUpPr fitToPage="1"/>
  </sheetPr>
  <dimension ref="B1:Y117"/>
  <sheetViews>
    <sheetView showGridLines="0" zoomScale="115" zoomScaleNormal="115" zoomScaleSheetLayoutView="115" workbookViewId="0">
      <pane xSplit="5" ySplit="4" topLeftCell="F5" activePane="bottomRight" state="frozen"/>
      <selection activeCell="V17" sqref="V17"/>
      <selection pane="topRight" activeCell="V17" sqref="V17"/>
      <selection pane="bottomLeft" activeCell="V17" sqref="V17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98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8145</v>
      </c>
      <c r="H6" s="125">
        <v>765</v>
      </c>
      <c r="I6" s="79">
        <v>0</v>
      </c>
      <c r="J6" s="80"/>
      <c r="K6" s="80"/>
      <c r="L6" s="80">
        <v>3591</v>
      </c>
      <c r="M6" s="80">
        <v>62</v>
      </c>
      <c r="N6" s="80">
        <v>1379</v>
      </c>
      <c r="O6" s="80">
        <v>1265</v>
      </c>
      <c r="P6" s="80">
        <v>528</v>
      </c>
      <c r="Q6" s="80">
        <v>555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3774</v>
      </c>
      <c r="H8" s="83">
        <v>3774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513</v>
      </c>
      <c r="H9" s="83">
        <v>513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509</v>
      </c>
      <c r="H10" s="83">
        <v>0</v>
      </c>
      <c r="I10" s="84">
        <v>0</v>
      </c>
      <c r="J10" s="85">
        <v>2</v>
      </c>
      <c r="K10" s="85">
        <v>1</v>
      </c>
      <c r="L10" s="85">
        <v>0</v>
      </c>
      <c r="M10" s="85">
        <v>24</v>
      </c>
      <c r="N10" s="85">
        <v>3</v>
      </c>
      <c r="O10" s="85">
        <v>113</v>
      </c>
      <c r="P10" s="85">
        <v>65</v>
      </c>
      <c r="Q10" s="85">
        <v>301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7898</v>
      </c>
      <c r="H11" s="83">
        <v>2503</v>
      </c>
      <c r="I11" s="84">
        <v>4990</v>
      </c>
      <c r="J11" s="85">
        <v>0</v>
      </c>
      <c r="K11" s="85">
        <v>0</v>
      </c>
      <c r="L11" s="85">
        <v>0</v>
      </c>
      <c r="M11" s="85">
        <v>0</v>
      </c>
      <c r="N11" s="85">
        <v>11</v>
      </c>
      <c r="O11" s="85">
        <v>393</v>
      </c>
      <c r="P11" s="85">
        <v>0</v>
      </c>
      <c r="Q11" s="85">
        <v>1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2522</v>
      </c>
      <c r="H13" s="83">
        <v>2457</v>
      </c>
      <c r="I13" s="84">
        <v>0</v>
      </c>
      <c r="J13" s="85">
        <v>0</v>
      </c>
      <c r="K13" s="85">
        <v>0</v>
      </c>
      <c r="L13" s="85">
        <v>0</v>
      </c>
      <c r="M13" s="85">
        <v>26</v>
      </c>
      <c r="N13" s="85">
        <v>0</v>
      </c>
      <c r="O13" s="85">
        <v>39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169</v>
      </c>
      <c r="H14" s="83">
        <v>164</v>
      </c>
      <c r="I14" s="84">
        <v>0</v>
      </c>
      <c r="J14" s="85">
        <v>0</v>
      </c>
      <c r="K14" s="85">
        <v>0</v>
      </c>
      <c r="L14" s="85">
        <v>0</v>
      </c>
      <c r="M14" s="85">
        <v>5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6351</v>
      </c>
      <c r="H15" s="83">
        <v>0</v>
      </c>
      <c r="I15" s="84">
        <v>0</v>
      </c>
      <c r="J15" s="85"/>
      <c r="K15" s="85"/>
      <c r="L15" s="85">
        <v>4646</v>
      </c>
      <c r="M15" s="85">
        <v>179</v>
      </c>
      <c r="N15" s="85">
        <v>175</v>
      </c>
      <c r="O15" s="85">
        <v>319</v>
      </c>
      <c r="P15" s="85">
        <v>298</v>
      </c>
      <c r="Q15" s="85">
        <v>734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11642</v>
      </c>
      <c r="H16" s="83">
        <v>4764</v>
      </c>
      <c r="I16" s="84">
        <v>3707</v>
      </c>
      <c r="J16" s="85">
        <v>1180</v>
      </c>
      <c r="K16" s="85">
        <v>0</v>
      </c>
      <c r="L16" s="85">
        <v>0</v>
      </c>
      <c r="M16" s="85">
        <v>35</v>
      </c>
      <c r="N16" s="85">
        <v>588</v>
      </c>
      <c r="O16" s="85">
        <v>180</v>
      </c>
      <c r="P16" s="85">
        <v>0</v>
      </c>
      <c r="Q16" s="85">
        <v>1188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4572</v>
      </c>
      <c r="H17" s="83">
        <v>0</v>
      </c>
      <c r="I17" s="84">
        <v>4006</v>
      </c>
      <c r="J17" s="85">
        <v>250</v>
      </c>
      <c r="K17" s="85">
        <v>12</v>
      </c>
      <c r="L17" s="85">
        <v>0</v>
      </c>
      <c r="M17" s="85">
        <v>12</v>
      </c>
      <c r="N17" s="85">
        <v>287</v>
      </c>
      <c r="O17" s="85">
        <v>0</v>
      </c>
      <c r="P17" s="85">
        <v>0</v>
      </c>
      <c r="Q17" s="85">
        <v>5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5</v>
      </c>
      <c r="H18" s="83">
        <v>0</v>
      </c>
      <c r="I18" s="84">
        <v>0</v>
      </c>
      <c r="J18" s="85">
        <v>0</v>
      </c>
      <c r="K18" s="85">
        <v>0</v>
      </c>
      <c r="L18" s="85">
        <v>4</v>
      </c>
      <c r="M18" s="85">
        <v>0</v>
      </c>
      <c r="N18" s="85">
        <v>1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6889</v>
      </c>
      <c r="H19" s="83">
        <v>800</v>
      </c>
      <c r="I19" s="84">
        <v>1147</v>
      </c>
      <c r="J19" s="85">
        <v>272</v>
      </c>
      <c r="K19" s="85">
        <v>78</v>
      </c>
      <c r="L19" s="85">
        <v>2859</v>
      </c>
      <c r="M19" s="85">
        <v>2</v>
      </c>
      <c r="N19" s="85">
        <v>227</v>
      </c>
      <c r="O19" s="85">
        <v>1266</v>
      </c>
      <c r="P19" s="85">
        <v>85</v>
      </c>
      <c r="Q19" s="85">
        <v>153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1152</v>
      </c>
      <c r="H20" s="83">
        <v>53</v>
      </c>
      <c r="I20" s="84">
        <v>338</v>
      </c>
      <c r="J20" s="85">
        <v>87</v>
      </c>
      <c r="K20" s="85">
        <v>0</v>
      </c>
      <c r="L20" s="85">
        <v>631</v>
      </c>
      <c r="M20" s="85">
        <v>5</v>
      </c>
      <c r="N20" s="85">
        <v>4</v>
      </c>
      <c r="O20" s="85">
        <v>0</v>
      </c>
      <c r="P20" s="85">
        <v>4</v>
      </c>
      <c r="Q20" s="85">
        <v>30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0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1</v>
      </c>
      <c r="H22" s="83">
        <v>1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7865</v>
      </c>
      <c r="H23" s="83">
        <v>2257</v>
      </c>
      <c r="I23" s="84">
        <v>0</v>
      </c>
      <c r="J23" s="85"/>
      <c r="K23" s="85"/>
      <c r="L23" s="85">
        <v>5063</v>
      </c>
      <c r="M23" s="85">
        <v>540</v>
      </c>
      <c r="N23" s="85">
        <v>0</v>
      </c>
      <c r="O23" s="85">
        <v>0</v>
      </c>
      <c r="P23" s="85">
        <v>5</v>
      </c>
      <c r="Q23" s="85">
        <v>0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0</v>
      </c>
      <c r="H24" s="83">
        <v>0</v>
      </c>
      <c r="I24" s="84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0</v>
      </c>
      <c r="H25" s="83">
        <v>0</v>
      </c>
      <c r="I25" s="84">
        <v>0</v>
      </c>
      <c r="J25" s="85"/>
      <c r="K25" s="85"/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4023</v>
      </c>
      <c r="H26" s="83">
        <v>1100</v>
      </c>
      <c r="I26" s="84">
        <v>1275</v>
      </c>
      <c r="J26" s="85">
        <v>65</v>
      </c>
      <c r="K26" s="85">
        <v>5</v>
      </c>
      <c r="L26" s="85">
        <v>1324</v>
      </c>
      <c r="M26" s="85">
        <v>148</v>
      </c>
      <c r="N26" s="85">
        <v>5</v>
      </c>
      <c r="O26" s="85">
        <v>12</v>
      </c>
      <c r="P26" s="85">
        <v>8</v>
      </c>
      <c r="Q26" s="85">
        <v>67</v>
      </c>
      <c r="R26" s="85">
        <v>13</v>
      </c>
      <c r="S26" s="86">
        <v>1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1601</v>
      </c>
      <c r="H27" s="83">
        <v>88</v>
      </c>
      <c r="I27" s="84">
        <v>599</v>
      </c>
      <c r="J27" s="85">
        <v>160</v>
      </c>
      <c r="K27" s="85">
        <v>0</v>
      </c>
      <c r="L27" s="85">
        <v>650</v>
      </c>
      <c r="M27" s="85">
        <v>22</v>
      </c>
      <c r="N27" s="85">
        <v>8</v>
      </c>
      <c r="O27" s="85">
        <v>15</v>
      </c>
      <c r="P27" s="85">
        <v>5</v>
      </c>
      <c r="Q27" s="85">
        <v>54</v>
      </c>
      <c r="R27" s="85">
        <v>0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16047</v>
      </c>
      <c r="H28" s="83">
        <v>6568</v>
      </c>
      <c r="I28" s="84">
        <v>4431</v>
      </c>
      <c r="J28" s="85">
        <v>1373</v>
      </c>
      <c r="K28" s="85">
        <v>536</v>
      </c>
      <c r="L28" s="85">
        <v>0</v>
      </c>
      <c r="M28" s="85">
        <v>314</v>
      </c>
      <c r="N28" s="85">
        <v>421</v>
      </c>
      <c r="O28" s="85">
        <v>6</v>
      </c>
      <c r="P28" s="85">
        <v>0</v>
      </c>
      <c r="Q28" s="85">
        <v>2398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15326</v>
      </c>
      <c r="H29" s="83">
        <v>9067</v>
      </c>
      <c r="I29" s="84">
        <v>1759</v>
      </c>
      <c r="J29" s="85">
        <v>204</v>
      </c>
      <c r="K29" s="85">
        <v>0</v>
      </c>
      <c r="L29" s="85">
        <v>961</v>
      </c>
      <c r="M29" s="85">
        <v>142</v>
      </c>
      <c r="N29" s="85">
        <v>162</v>
      </c>
      <c r="O29" s="85">
        <v>1781</v>
      </c>
      <c r="P29" s="85">
        <v>83</v>
      </c>
      <c r="Q29" s="85">
        <v>1167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2</v>
      </c>
      <c r="H30" s="83">
        <v>0</v>
      </c>
      <c r="I30" s="84">
        <v>0</v>
      </c>
      <c r="J30" s="85"/>
      <c r="K30" s="85"/>
      <c r="L30" s="85">
        <v>0</v>
      </c>
      <c r="M30" s="85">
        <v>2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14825</v>
      </c>
      <c r="H31" s="83">
        <v>7734</v>
      </c>
      <c r="I31" s="84">
        <v>4440</v>
      </c>
      <c r="J31" s="85">
        <v>548</v>
      </c>
      <c r="K31" s="85">
        <v>0</v>
      </c>
      <c r="L31" s="85">
        <v>0</v>
      </c>
      <c r="M31" s="85">
        <v>18</v>
      </c>
      <c r="N31" s="85">
        <v>102</v>
      </c>
      <c r="O31" s="85">
        <v>354</v>
      </c>
      <c r="P31" s="85">
        <v>9</v>
      </c>
      <c r="Q31" s="85">
        <v>1620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0</v>
      </c>
      <c r="H32" s="83">
        <v>0</v>
      </c>
      <c r="I32" s="84">
        <v>0</v>
      </c>
      <c r="J32" s="85"/>
      <c r="K32" s="85"/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5423</v>
      </c>
      <c r="H33" s="83">
        <v>2627</v>
      </c>
      <c r="I33" s="84">
        <v>0</v>
      </c>
      <c r="J33" s="85"/>
      <c r="K33" s="85"/>
      <c r="L33" s="85">
        <v>0</v>
      </c>
      <c r="M33" s="85">
        <v>53</v>
      </c>
      <c r="N33" s="85">
        <v>907</v>
      </c>
      <c r="O33" s="85">
        <v>1373</v>
      </c>
      <c r="P33" s="85">
        <v>209</v>
      </c>
      <c r="Q33" s="85">
        <v>254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654</v>
      </c>
      <c r="H34" s="83">
        <v>654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114</v>
      </c>
      <c r="H35" s="83">
        <v>114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0</v>
      </c>
      <c r="H36" s="90">
        <v>0</v>
      </c>
      <c r="I36" s="91">
        <v>0</v>
      </c>
      <c r="J36" s="92"/>
      <c r="K36" s="92"/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120022</v>
      </c>
      <c r="H37" s="95">
        <v>46003</v>
      </c>
      <c r="I37" s="96">
        <v>26692</v>
      </c>
      <c r="J37" s="97">
        <v>4141</v>
      </c>
      <c r="K37" s="97">
        <v>632</v>
      </c>
      <c r="L37" s="97">
        <v>19729</v>
      </c>
      <c r="M37" s="97">
        <v>1589</v>
      </c>
      <c r="N37" s="97">
        <v>4280</v>
      </c>
      <c r="O37" s="97">
        <v>7116</v>
      </c>
      <c r="P37" s="97">
        <v>1299</v>
      </c>
      <c r="Q37" s="97">
        <v>8527</v>
      </c>
      <c r="R37" s="97">
        <v>13</v>
      </c>
      <c r="S37" s="98">
        <v>1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1</v>
      </c>
      <c r="H38" s="83">
        <v>0</v>
      </c>
      <c r="I38" s="84">
        <v>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8663</v>
      </c>
      <c r="H39" s="83">
        <v>0</v>
      </c>
      <c r="I39" s="84">
        <v>8641</v>
      </c>
      <c r="J39" s="85">
        <v>0</v>
      </c>
      <c r="K39" s="85">
        <v>0</v>
      </c>
      <c r="L39" s="85">
        <v>0</v>
      </c>
      <c r="M39" s="85">
        <v>0</v>
      </c>
      <c r="N39" s="85">
        <v>22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6886</v>
      </c>
      <c r="H40" s="83">
        <v>0</v>
      </c>
      <c r="I40" s="84">
        <v>5940</v>
      </c>
      <c r="J40" s="85">
        <v>741</v>
      </c>
      <c r="K40" s="85">
        <v>166</v>
      </c>
      <c r="L40" s="85">
        <v>0</v>
      </c>
      <c r="M40" s="85">
        <v>0</v>
      </c>
      <c r="N40" s="85">
        <v>39</v>
      </c>
      <c r="O40" s="85">
        <v>0</v>
      </c>
      <c r="P40" s="85">
        <v>0</v>
      </c>
      <c r="Q40" s="85">
        <v>0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9963</v>
      </c>
      <c r="H41" s="83">
        <v>0</v>
      </c>
      <c r="I41" s="84">
        <v>9599</v>
      </c>
      <c r="J41" s="85">
        <v>244</v>
      </c>
      <c r="K41" s="85">
        <v>43</v>
      </c>
      <c r="L41" s="85">
        <v>0</v>
      </c>
      <c r="M41" s="85">
        <v>0</v>
      </c>
      <c r="N41" s="85">
        <v>15</v>
      </c>
      <c r="O41" s="85">
        <v>61</v>
      </c>
      <c r="P41" s="85">
        <v>0</v>
      </c>
      <c r="Q41" s="85">
        <v>1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0</v>
      </c>
      <c r="H42" s="83">
        <v>0</v>
      </c>
      <c r="I42" s="84">
        <v>0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761</v>
      </c>
      <c r="H43" s="90">
        <v>0</v>
      </c>
      <c r="I43" s="91">
        <v>761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26274</v>
      </c>
      <c r="H44" s="95">
        <v>0</v>
      </c>
      <c r="I44" s="96">
        <v>24942</v>
      </c>
      <c r="J44" s="97">
        <v>985</v>
      </c>
      <c r="K44" s="97">
        <v>209</v>
      </c>
      <c r="L44" s="97">
        <v>0</v>
      </c>
      <c r="M44" s="97">
        <v>0</v>
      </c>
      <c r="N44" s="97">
        <v>76</v>
      </c>
      <c r="O44" s="97">
        <v>61</v>
      </c>
      <c r="P44" s="97">
        <v>0</v>
      </c>
      <c r="Q44" s="97">
        <v>1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/>
      <c r="I45" s="84"/>
      <c r="J45" s="85"/>
      <c r="K45" s="85"/>
      <c r="L45" s="85"/>
      <c r="M45" s="85"/>
      <c r="N45" s="85"/>
      <c r="O45" s="85"/>
      <c r="P45" s="85"/>
      <c r="Q45" s="85"/>
      <c r="R45" s="85"/>
      <c r="S45" s="86"/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0</v>
      </c>
      <c r="H46" s="83">
        <v>0</v>
      </c>
      <c r="I46" s="84">
        <v>0</v>
      </c>
      <c r="J46" s="85"/>
      <c r="K46" s="85"/>
      <c r="L46" s="85">
        <v>0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5544</v>
      </c>
      <c r="H47" s="83">
        <v>0</v>
      </c>
      <c r="I47" s="84">
        <v>0</v>
      </c>
      <c r="J47" s="85">
        <v>0</v>
      </c>
      <c r="K47" s="85">
        <v>0</v>
      </c>
      <c r="L47" s="85">
        <v>5308</v>
      </c>
      <c r="M47" s="85">
        <v>231</v>
      </c>
      <c r="N47" s="85">
        <v>1</v>
      </c>
      <c r="O47" s="85">
        <v>0</v>
      </c>
      <c r="P47" s="85">
        <v>4</v>
      </c>
      <c r="Q47" s="85">
        <v>0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1933</v>
      </c>
      <c r="H48" s="83">
        <v>0</v>
      </c>
      <c r="I48" s="84">
        <v>0</v>
      </c>
      <c r="J48" s="85">
        <v>0</v>
      </c>
      <c r="K48" s="85">
        <v>0</v>
      </c>
      <c r="L48" s="85">
        <v>1579</v>
      </c>
      <c r="M48" s="85">
        <v>188</v>
      </c>
      <c r="N48" s="85">
        <v>5</v>
      </c>
      <c r="O48" s="85">
        <v>0</v>
      </c>
      <c r="P48" s="85">
        <v>161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12903</v>
      </c>
      <c r="H49" s="90">
        <v>0</v>
      </c>
      <c r="I49" s="91">
        <v>0</v>
      </c>
      <c r="J49" s="92">
        <v>0</v>
      </c>
      <c r="K49" s="92">
        <v>0</v>
      </c>
      <c r="L49" s="92">
        <v>9485</v>
      </c>
      <c r="M49" s="92">
        <v>717</v>
      </c>
      <c r="N49" s="92">
        <v>403</v>
      </c>
      <c r="O49" s="92">
        <v>1587</v>
      </c>
      <c r="P49" s="92">
        <v>711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20380</v>
      </c>
      <c r="H50" s="95">
        <v>0</v>
      </c>
      <c r="I50" s="96">
        <v>0</v>
      </c>
      <c r="J50" s="97">
        <v>0</v>
      </c>
      <c r="K50" s="97">
        <v>0</v>
      </c>
      <c r="L50" s="97">
        <v>16372</v>
      </c>
      <c r="M50" s="97">
        <v>1136</v>
      </c>
      <c r="N50" s="97">
        <v>409</v>
      </c>
      <c r="O50" s="97">
        <v>1587</v>
      </c>
      <c r="P50" s="97">
        <v>876</v>
      </c>
      <c r="Q50" s="97">
        <v>0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2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2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6589</v>
      </c>
      <c r="H52" s="83">
        <v>0</v>
      </c>
      <c r="I52" s="84">
        <v>149</v>
      </c>
      <c r="J52" s="85">
        <v>6</v>
      </c>
      <c r="K52" s="85">
        <v>4614</v>
      </c>
      <c r="L52" s="85">
        <v>0</v>
      </c>
      <c r="M52" s="85">
        <v>0</v>
      </c>
      <c r="N52" s="85">
        <v>1106</v>
      </c>
      <c r="O52" s="85">
        <v>713</v>
      </c>
      <c r="P52" s="85">
        <v>0</v>
      </c>
      <c r="Q52" s="85">
        <v>1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14068</v>
      </c>
      <c r="H53" s="90">
        <v>0</v>
      </c>
      <c r="I53" s="91">
        <v>11520</v>
      </c>
      <c r="J53" s="92">
        <v>872</v>
      </c>
      <c r="K53" s="92">
        <v>1286</v>
      </c>
      <c r="L53" s="92">
        <v>0</v>
      </c>
      <c r="M53" s="92">
        <v>0</v>
      </c>
      <c r="N53" s="92">
        <v>196</v>
      </c>
      <c r="O53" s="92">
        <v>0</v>
      </c>
      <c r="P53" s="92">
        <v>0</v>
      </c>
      <c r="Q53" s="92">
        <v>194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20659</v>
      </c>
      <c r="H54" s="95">
        <v>0</v>
      </c>
      <c r="I54" s="96">
        <v>11669</v>
      </c>
      <c r="J54" s="97">
        <v>878</v>
      </c>
      <c r="K54" s="97">
        <v>5900</v>
      </c>
      <c r="L54" s="97">
        <v>0</v>
      </c>
      <c r="M54" s="97">
        <v>0</v>
      </c>
      <c r="N54" s="97">
        <v>1304</v>
      </c>
      <c r="O54" s="97">
        <v>713</v>
      </c>
      <c r="P54" s="97">
        <v>0</v>
      </c>
      <c r="Q54" s="97">
        <v>195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/>
      <c r="K55" s="102"/>
      <c r="L55" s="102">
        <v>0</v>
      </c>
      <c r="M55" s="102">
        <v>0</v>
      </c>
      <c r="N55" s="102">
        <v>0</v>
      </c>
      <c r="O55" s="102"/>
      <c r="P55" s="102"/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5445</v>
      </c>
      <c r="H57" s="83">
        <v>0</v>
      </c>
      <c r="I57" s="84">
        <v>0</v>
      </c>
      <c r="J57" s="85"/>
      <c r="K57" s="85"/>
      <c r="L57" s="85">
        <v>0</v>
      </c>
      <c r="M57" s="85">
        <v>0</v>
      </c>
      <c r="N57" s="85">
        <v>1725</v>
      </c>
      <c r="O57" s="85">
        <v>3543</v>
      </c>
      <c r="P57" s="85">
        <v>40</v>
      </c>
      <c r="Q57" s="85">
        <v>131</v>
      </c>
      <c r="R57" s="85">
        <v>0</v>
      </c>
      <c r="S57" s="87">
        <v>6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666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666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529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529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497</v>
      </c>
      <c r="H60" s="83">
        <v>0</v>
      </c>
      <c r="I60" s="84">
        <v>0</v>
      </c>
      <c r="J60" s="85"/>
      <c r="K60" s="85"/>
      <c r="L60" s="85">
        <v>0</v>
      </c>
      <c r="M60" s="85">
        <v>318</v>
      </c>
      <c r="N60" s="85">
        <v>0</v>
      </c>
      <c r="O60" s="85"/>
      <c r="P60" s="85"/>
      <c r="Q60" s="85">
        <v>0</v>
      </c>
      <c r="R60" s="85">
        <v>0</v>
      </c>
      <c r="S60" s="87">
        <v>179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1918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1918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3064</v>
      </c>
      <c r="H62" s="83">
        <v>0</v>
      </c>
      <c r="I62" s="84">
        <v>0</v>
      </c>
      <c r="J62" s="85">
        <v>0</v>
      </c>
      <c r="K62" s="85">
        <v>977</v>
      </c>
      <c r="L62" s="85">
        <v>0</v>
      </c>
      <c r="M62" s="85">
        <v>0</v>
      </c>
      <c r="N62" s="85">
        <v>976</v>
      </c>
      <c r="O62" s="85">
        <v>439</v>
      </c>
      <c r="P62" s="85">
        <v>36</v>
      </c>
      <c r="Q62" s="85">
        <v>617</v>
      </c>
      <c r="R62" s="85">
        <v>0</v>
      </c>
      <c r="S62" s="87">
        <v>19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3528</v>
      </c>
      <c r="H63" s="83">
        <v>0</v>
      </c>
      <c r="I63" s="84">
        <v>0</v>
      </c>
      <c r="J63" s="85">
        <v>0</v>
      </c>
      <c r="K63" s="85">
        <v>1184</v>
      </c>
      <c r="L63" s="85">
        <v>0</v>
      </c>
      <c r="M63" s="85">
        <v>0</v>
      </c>
      <c r="N63" s="85">
        <v>710</v>
      </c>
      <c r="O63" s="85">
        <v>839</v>
      </c>
      <c r="P63" s="85">
        <v>64</v>
      </c>
      <c r="Q63" s="85">
        <v>72</v>
      </c>
      <c r="R63" s="85">
        <v>0</v>
      </c>
      <c r="S63" s="87">
        <v>659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145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145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1368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839</v>
      </c>
      <c r="P65" s="85">
        <v>0</v>
      </c>
      <c r="Q65" s="85">
        <v>0</v>
      </c>
      <c r="R65" s="85">
        <v>0</v>
      </c>
      <c r="S65" s="87">
        <v>529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83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83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1118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155</v>
      </c>
      <c r="O67" s="92">
        <v>15</v>
      </c>
      <c r="P67" s="92">
        <v>0</v>
      </c>
      <c r="Q67" s="92">
        <v>479</v>
      </c>
      <c r="R67" s="92">
        <v>0</v>
      </c>
      <c r="S67" s="104">
        <v>469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18361</v>
      </c>
      <c r="H68" s="106">
        <v>0</v>
      </c>
      <c r="I68" s="107">
        <v>0</v>
      </c>
      <c r="J68" s="108">
        <v>0</v>
      </c>
      <c r="K68" s="108">
        <v>2161</v>
      </c>
      <c r="L68" s="108">
        <v>0</v>
      </c>
      <c r="M68" s="108">
        <v>318</v>
      </c>
      <c r="N68" s="108">
        <v>3566</v>
      </c>
      <c r="O68" s="108">
        <v>5675</v>
      </c>
      <c r="P68" s="108">
        <v>140</v>
      </c>
      <c r="Q68" s="108">
        <v>1299</v>
      </c>
      <c r="R68" s="108">
        <v>0</v>
      </c>
      <c r="S68" s="109">
        <v>5202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5298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5298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7839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68</v>
      </c>
      <c r="O70" s="85">
        <v>0</v>
      </c>
      <c r="P70" s="85">
        <v>847</v>
      </c>
      <c r="Q70" s="85">
        <v>79</v>
      </c>
      <c r="R70" s="85">
        <v>6845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5549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148</v>
      </c>
      <c r="O71" s="85">
        <v>0</v>
      </c>
      <c r="P71" s="85">
        <v>155</v>
      </c>
      <c r="Q71" s="85">
        <v>67</v>
      </c>
      <c r="R71" s="85">
        <v>5179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5718</v>
      </c>
      <c r="H72" s="83">
        <v>0</v>
      </c>
      <c r="I72" s="84">
        <v>0</v>
      </c>
      <c r="J72" s="85"/>
      <c r="K72" s="85"/>
      <c r="L72" s="85">
        <v>0</v>
      </c>
      <c r="M72" s="85">
        <v>47</v>
      </c>
      <c r="N72" s="85">
        <v>206</v>
      </c>
      <c r="O72" s="85">
        <v>190</v>
      </c>
      <c r="P72" s="85">
        <v>25</v>
      </c>
      <c r="Q72" s="85">
        <v>19</v>
      </c>
      <c r="R72" s="85">
        <v>5231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0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210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210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24614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47</v>
      </c>
      <c r="N75" s="108">
        <v>422</v>
      </c>
      <c r="O75" s="108">
        <v>190</v>
      </c>
      <c r="P75" s="108">
        <v>1027</v>
      </c>
      <c r="Q75" s="108">
        <v>165</v>
      </c>
      <c r="R75" s="108">
        <v>22763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0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0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0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0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295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257</v>
      </c>
      <c r="P79" s="80">
        <v>0</v>
      </c>
      <c r="Q79" s="80">
        <v>38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18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18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354</v>
      </c>
      <c r="H81" s="83">
        <v>0</v>
      </c>
      <c r="I81" s="84">
        <v>0</v>
      </c>
      <c r="J81" s="85"/>
      <c r="K81" s="85"/>
      <c r="L81" s="85">
        <v>0</v>
      </c>
      <c r="M81" s="85">
        <v>218</v>
      </c>
      <c r="N81" s="85">
        <v>0</v>
      </c>
      <c r="O81" s="85"/>
      <c r="P81" s="85"/>
      <c r="Q81" s="85">
        <v>136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9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9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1853</v>
      </c>
      <c r="H85" s="83">
        <v>0</v>
      </c>
      <c r="I85" s="84">
        <v>0</v>
      </c>
      <c r="J85" s="85"/>
      <c r="K85" s="85"/>
      <c r="L85" s="85">
        <v>0</v>
      </c>
      <c r="M85" s="85">
        <v>1257</v>
      </c>
      <c r="N85" s="85">
        <v>224</v>
      </c>
      <c r="O85" s="85"/>
      <c r="P85" s="85"/>
      <c r="Q85" s="85">
        <v>372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192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192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385</v>
      </c>
      <c r="H87" s="83">
        <v>0</v>
      </c>
      <c r="I87" s="84">
        <v>0</v>
      </c>
      <c r="J87" s="85"/>
      <c r="K87" s="85"/>
      <c r="L87" s="85">
        <v>0</v>
      </c>
      <c r="M87" s="85">
        <v>45</v>
      </c>
      <c r="N87" s="85">
        <v>0</v>
      </c>
      <c r="O87" s="85"/>
      <c r="P87" s="85"/>
      <c r="Q87" s="85">
        <v>340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/>
      <c r="K88" s="85"/>
      <c r="L88" s="85">
        <v>0</v>
      </c>
      <c r="M88" s="85">
        <v>0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1037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711</v>
      </c>
      <c r="N92" s="85">
        <v>0</v>
      </c>
      <c r="O92" s="85">
        <v>144</v>
      </c>
      <c r="P92" s="85">
        <v>0</v>
      </c>
      <c r="Q92" s="85">
        <v>182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105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30</v>
      </c>
      <c r="P93" s="85">
        <v>0</v>
      </c>
      <c r="Q93" s="85">
        <v>75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250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250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460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460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916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181</v>
      </c>
      <c r="O97" s="92"/>
      <c r="P97" s="92"/>
      <c r="Q97" s="92">
        <v>735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5874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2231</v>
      </c>
      <c r="N98" s="108">
        <v>405</v>
      </c>
      <c r="O98" s="108">
        <v>623</v>
      </c>
      <c r="P98" s="108">
        <v>0</v>
      </c>
      <c r="Q98" s="108">
        <v>2615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17</v>
      </c>
      <c r="H101" s="83">
        <v>0</v>
      </c>
      <c r="I101" s="84">
        <v>0</v>
      </c>
      <c r="J101" s="85"/>
      <c r="K101" s="85"/>
      <c r="L101" s="85">
        <v>0</v>
      </c>
      <c r="M101" s="85">
        <v>10</v>
      </c>
      <c r="N101" s="85">
        <v>0</v>
      </c>
      <c r="O101" s="85">
        <v>0</v>
      </c>
      <c r="P101" s="85">
        <v>0</v>
      </c>
      <c r="Q101" s="85">
        <v>7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115</v>
      </c>
      <c r="H102" s="83">
        <v>44</v>
      </c>
      <c r="I102" s="84">
        <v>0</v>
      </c>
      <c r="J102" s="85">
        <v>0</v>
      </c>
      <c r="K102" s="85">
        <v>0</v>
      </c>
      <c r="L102" s="85">
        <v>21</v>
      </c>
      <c r="M102" s="85">
        <v>0</v>
      </c>
      <c r="N102" s="85">
        <v>0</v>
      </c>
      <c r="O102" s="85">
        <v>0</v>
      </c>
      <c r="P102" s="85">
        <v>50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50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50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77</v>
      </c>
      <c r="H106" s="83">
        <v>0</v>
      </c>
      <c r="I106" s="84">
        <v>0</v>
      </c>
      <c r="J106" s="85"/>
      <c r="K106" s="85"/>
      <c r="L106" s="85">
        <v>2</v>
      </c>
      <c r="M106" s="85">
        <v>0</v>
      </c>
      <c r="N106" s="85">
        <v>0</v>
      </c>
      <c r="O106" s="85">
        <v>73</v>
      </c>
      <c r="P106" s="85">
        <v>1</v>
      </c>
      <c r="Q106" s="85">
        <v>1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20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20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279</v>
      </c>
      <c r="H108" s="95">
        <v>44</v>
      </c>
      <c r="I108" s="96">
        <v>0</v>
      </c>
      <c r="J108" s="97">
        <v>0</v>
      </c>
      <c r="K108" s="97">
        <v>0</v>
      </c>
      <c r="L108" s="97">
        <v>23</v>
      </c>
      <c r="M108" s="97">
        <v>10</v>
      </c>
      <c r="N108" s="97">
        <v>0</v>
      </c>
      <c r="O108" s="97">
        <v>123</v>
      </c>
      <c r="P108" s="97">
        <v>51</v>
      </c>
      <c r="Q108" s="97">
        <v>28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236463</v>
      </c>
      <c r="H110" s="116">
        <v>46047</v>
      </c>
      <c r="I110" s="117">
        <v>63303</v>
      </c>
      <c r="J110" s="118">
        <v>6004</v>
      </c>
      <c r="K110" s="118">
        <v>8902</v>
      </c>
      <c r="L110" s="118">
        <v>36124</v>
      </c>
      <c r="M110" s="118">
        <v>5331</v>
      </c>
      <c r="N110" s="118">
        <v>10462</v>
      </c>
      <c r="O110" s="118">
        <v>16088</v>
      </c>
      <c r="P110" s="118">
        <v>3393</v>
      </c>
      <c r="Q110" s="118">
        <v>12830</v>
      </c>
      <c r="R110" s="118">
        <v>22776</v>
      </c>
      <c r="S110" s="119">
        <v>5203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17693</v>
      </c>
      <c r="H111" s="121">
        <v>4666</v>
      </c>
      <c r="I111" s="122">
        <v>2973</v>
      </c>
      <c r="J111" s="123">
        <v>312</v>
      </c>
      <c r="K111" s="123">
        <v>5</v>
      </c>
      <c r="L111" s="123">
        <v>7672</v>
      </c>
      <c r="M111" s="123">
        <v>715</v>
      </c>
      <c r="N111" s="123">
        <v>173</v>
      </c>
      <c r="O111" s="123">
        <v>42</v>
      </c>
      <c r="P111" s="123">
        <v>22</v>
      </c>
      <c r="Q111" s="123">
        <v>630</v>
      </c>
      <c r="R111" s="123">
        <v>13</v>
      </c>
      <c r="S111" s="124">
        <v>470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10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96E7-4D9D-4AC9-93A9-C7B85CCAB849}">
  <sheetPr>
    <tabColor theme="1"/>
    <pageSetUpPr fitToPage="1"/>
  </sheetPr>
  <dimension ref="B1:Y117"/>
  <sheetViews>
    <sheetView showGridLines="0" zoomScale="115" zoomScaleNormal="115" zoomScaleSheetLayoutView="115" workbookViewId="0">
      <pane xSplit="5" ySplit="4" topLeftCell="F5" activePane="bottomRight" state="frozen"/>
      <selection activeCell="V17" sqref="V17"/>
      <selection pane="topRight" activeCell="V17" sqref="V17"/>
      <selection pane="bottomLeft" activeCell="V17" sqref="V17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97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11145</v>
      </c>
      <c r="H6" s="78">
        <v>579</v>
      </c>
      <c r="I6" s="79">
        <v>0</v>
      </c>
      <c r="J6" s="80"/>
      <c r="K6" s="80"/>
      <c r="L6" s="80">
        <v>6327</v>
      </c>
      <c r="M6" s="80">
        <v>121</v>
      </c>
      <c r="N6" s="80">
        <v>1511</v>
      </c>
      <c r="O6" s="80">
        <v>1091</v>
      </c>
      <c r="P6" s="80">
        <v>634</v>
      </c>
      <c r="Q6" s="80">
        <v>882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3375</v>
      </c>
      <c r="H8" s="83">
        <v>3375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1209</v>
      </c>
      <c r="H9" s="83">
        <v>1209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397</v>
      </c>
      <c r="H10" s="83">
        <v>0</v>
      </c>
      <c r="I10" s="84">
        <v>0</v>
      </c>
      <c r="J10" s="85">
        <v>2</v>
      </c>
      <c r="K10" s="85">
        <v>0</v>
      </c>
      <c r="L10" s="85">
        <v>0</v>
      </c>
      <c r="M10" s="85">
        <v>13</v>
      </c>
      <c r="N10" s="85">
        <v>6</v>
      </c>
      <c r="O10" s="85">
        <v>84</v>
      </c>
      <c r="P10" s="85">
        <v>65</v>
      </c>
      <c r="Q10" s="85">
        <v>227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10130</v>
      </c>
      <c r="H11" s="83">
        <v>2863</v>
      </c>
      <c r="I11" s="84">
        <v>6399</v>
      </c>
      <c r="J11" s="85">
        <v>0</v>
      </c>
      <c r="K11" s="85">
        <v>0</v>
      </c>
      <c r="L11" s="85">
        <v>0</v>
      </c>
      <c r="M11" s="85">
        <v>1</v>
      </c>
      <c r="N11" s="85">
        <v>14</v>
      </c>
      <c r="O11" s="85">
        <v>853</v>
      </c>
      <c r="P11" s="85">
        <v>0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1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1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2807</v>
      </c>
      <c r="H13" s="83">
        <v>2704</v>
      </c>
      <c r="I13" s="84">
        <v>0</v>
      </c>
      <c r="J13" s="85">
        <v>0</v>
      </c>
      <c r="K13" s="85">
        <v>0</v>
      </c>
      <c r="L13" s="85">
        <v>0</v>
      </c>
      <c r="M13" s="85">
        <v>15</v>
      </c>
      <c r="N13" s="85">
        <v>0</v>
      </c>
      <c r="O13" s="85">
        <v>88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232</v>
      </c>
      <c r="H14" s="83">
        <v>226</v>
      </c>
      <c r="I14" s="84">
        <v>0</v>
      </c>
      <c r="J14" s="85">
        <v>0</v>
      </c>
      <c r="K14" s="85">
        <v>0</v>
      </c>
      <c r="L14" s="85">
        <v>0</v>
      </c>
      <c r="M14" s="85">
        <v>6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8214</v>
      </c>
      <c r="H15" s="83">
        <v>0</v>
      </c>
      <c r="I15" s="84">
        <v>0</v>
      </c>
      <c r="J15" s="85"/>
      <c r="K15" s="85"/>
      <c r="L15" s="85">
        <v>5766</v>
      </c>
      <c r="M15" s="85">
        <v>301</v>
      </c>
      <c r="N15" s="85">
        <v>203</v>
      </c>
      <c r="O15" s="85">
        <v>524</v>
      </c>
      <c r="P15" s="85">
        <v>703</v>
      </c>
      <c r="Q15" s="85">
        <v>717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13651</v>
      </c>
      <c r="H16" s="83">
        <v>5351</v>
      </c>
      <c r="I16" s="84">
        <v>4828</v>
      </c>
      <c r="J16" s="85">
        <v>1420</v>
      </c>
      <c r="K16" s="85">
        <v>0</v>
      </c>
      <c r="L16" s="85">
        <v>0</v>
      </c>
      <c r="M16" s="85">
        <v>41</v>
      </c>
      <c r="N16" s="85">
        <v>730</v>
      </c>
      <c r="O16" s="85">
        <v>253</v>
      </c>
      <c r="P16" s="85">
        <v>0</v>
      </c>
      <c r="Q16" s="85">
        <v>1028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4322</v>
      </c>
      <c r="H17" s="83">
        <v>0</v>
      </c>
      <c r="I17" s="84">
        <v>3717</v>
      </c>
      <c r="J17" s="85">
        <v>209</v>
      </c>
      <c r="K17" s="85">
        <v>7</v>
      </c>
      <c r="L17" s="85">
        <v>0</v>
      </c>
      <c r="M17" s="85">
        <v>33</v>
      </c>
      <c r="N17" s="85">
        <v>348</v>
      </c>
      <c r="O17" s="85">
        <v>0</v>
      </c>
      <c r="P17" s="85">
        <v>0</v>
      </c>
      <c r="Q17" s="85">
        <v>8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5</v>
      </c>
      <c r="H18" s="83">
        <v>0</v>
      </c>
      <c r="I18" s="84">
        <v>0</v>
      </c>
      <c r="J18" s="85">
        <v>0</v>
      </c>
      <c r="K18" s="85">
        <v>0</v>
      </c>
      <c r="L18" s="85">
        <v>5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9776</v>
      </c>
      <c r="H19" s="83">
        <v>1147</v>
      </c>
      <c r="I19" s="84">
        <v>1851</v>
      </c>
      <c r="J19" s="85">
        <v>558</v>
      </c>
      <c r="K19" s="85">
        <v>77</v>
      </c>
      <c r="L19" s="85">
        <v>5160</v>
      </c>
      <c r="M19" s="85">
        <v>6</v>
      </c>
      <c r="N19" s="85">
        <v>247</v>
      </c>
      <c r="O19" s="85">
        <v>480</v>
      </c>
      <c r="P19" s="85">
        <v>47</v>
      </c>
      <c r="Q19" s="85">
        <v>203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2157</v>
      </c>
      <c r="H20" s="83">
        <v>29</v>
      </c>
      <c r="I20" s="84">
        <v>580</v>
      </c>
      <c r="J20" s="85">
        <v>150</v>
      </c>
      <c r="K20" s="85">
        <v>0</v>
      </c>
      <c r="L20" s="85">
        <v>1369</v>
      </c>
      <c r="M20" s="85">
        <v>2</v>
      </c>
      <c r="N20" s="85">
        <v>1</v>
      </c>
      <c r="O20" s="85">
        <v>3</v>
      </c>
      <c r="P20" s="85">
        <v>3</v>
      </c>
      <c r="Q20" s="85">
        <v>20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1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1</v>
      </c>
      <c r="Q21" s="85">
        <v>0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12212</v>
      </c>
      <c r="H23" s="83">
        <v>3032</v>
      </c>
      <c r="I23" s="84">
        <v>0</v>
      </c>
      <c r="J23" s="85"/>
      <c r="K23" s="85"/>
      <c r="L23" s="85">
        <v>7809</v>
      </c>
      <c r="M23" s="85">
        <v>1173</v>
      </c>
      <c r="N23" s="85">
        <v>4</v>
      </c>
      <c r="O23" s="85">
        <v>0</v>
      </c>
      <c r="P23" s="85">
        <v>8</v>
      </c>
      <c r="Q23" s="85">
        <v>186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0</v>
      </c>
      <c r="H24" s="83">
        <v>0</v>
      </c>
      <c r="I24" s="84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0</v>
      </c>
      <c r="H25" s="83">
        <v>0</v>
      </c>
      <c r="I25" s="84">
        <v>0</v>
      </c>
      <c r="J25" s="85"/>
      <c r="K25" s="85"/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4478</v>
      </c>
      <c r="H26" s="83">
        <v>1163</v>
      </c>
      <c r="I26" s="84">
        <v>921</v>
      </c>
      <c r="J26" s="85">
        <v>25</v>
      </c>
      <c r="K26" s="85">
        <v>9</v>
      </c>
      <c r="L26" s="85">
        <v>1965</v>
      </c>
      <c r="M26" s="85">
        <v>249</v>
      </c>
      <c r="N26" s="85">
        <v>4</v>
      </c>
      <c r="O26" s="85">
        <v>4</v>
      </c>
      <c r="P26" s="85">
        <v>4</v>
      </c>
      <c r="Q26" s="85">
        <v>115</v>
      </c>
      <c r="R26" s="85">
        <v>16</v>
      </c>
      <c r="S26" s="86">
        <v>3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1957</v>
      </c>
      <c r="H27" s="83">
        <v>202</v>
      </c>
      <c r="I27" s="84">
        <v>466</v>
      </c>
      <c r="J27" s="85">
        <v>203</v>
      </c>
      <c r="K27" s="85">
        <v>0</v>
      </c>
      <c r="L27" s="85">
        <v>997</v>
      </c>
      <c r="M27" s="85">
        <v>6</v>
      </c>
      <c r="N27" s="85">
        <v>11</v>
      </c>
      <c r="O27" s="85">
        <v>8</v>
      </c>
      <c r="P27" s="85">
        <v>2</v>
      </c>
      <c r="Q27" s="85">
        <v>60</v>
      </c>
      <c r="R27" s="85">
        <v>2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18471</v>
      </c>
      <c r="H28" s="83">
        <v>6617</v>
      </c>
      <c r="I28" s="84">
        <v>5929</v>
      </c>
      <c r="J28" s="85">
        <v>2019</v>
      </c>
      <c r="K28" s="85">
        <v>470</v>
      </c>
      <c r="L28" s="85">
        <v>0</v>
      </c>
      <c r="M28" s="85">
        <v>418</v>
      </c>
      <c r="N28" s="85">
        <v>549</v>
      </c>
      <c r="O28" s="85">
        <v>1</v>
      </c>
      <c r="P28" s="85">
        <v>0</v>
      </c>
      <c r="Q28" s="85">
        <v>2468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17531</v>
      </c>
      <c r="H29" s="83">
        <v>10155</v>
      </c>
      <c r="I29" s="84">
        <v>2408</v>
      </c>
      <c r="J29" s="85">
        <v>263</v>
      </c>
      <c r="K29" s="85">
        <v>0</v>
      </c>
      <c r="L29" s="85">
        <v>1444</v>
      </c>
      <c r="M29" s="85">
        <v>153</v>
      </c>
      <c r="N29" s="85">
        <v>159</v>
      </c>
      <c r="O29" s="85">
        <v>1691</v>
      </c>
      <c r="P29" s="85">
        <v>68</v>
      </c>
      <c r="Q29" s="85">
        <v>1190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6</v>
      </c>
      <c r="H30" s="83">
        <v>0</v>
      </c>
      <c r="I30" s="84">
        <v>0</v>
      </c>
      <c r="J30" s="85"/>
      <c r="K30" s="85"/>
      <c r="L30" s="85">
        <v>0</v>
      </c>
      <c r="M30" s="85">
        <v>6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16657</v>
      </c>
      <c r="H31" s="83">
        <v>7710</v>
      </c>
      <c r="I31" s="84">
        <v>6469</v>
      </c>
      <c r="J31" s="85">
        <v>454</v>
      </c>
      <c r="K31" s="85">
        <v>0</v>
      </c>
      <c r="L31" s="85">
        <v>0</v>
      </c>
      <c r="M31" s="85">
        <v>35</v>
      </c>
      <c r="N31" s="85">
        <v>134</v>
      </c>
      <c r="O31" s="85">
        <v>453</v>
      </c>
      <c r="P31" s="85">
        <v>10</v>
      </c>
      <c r="Q31" s="85">
        <v>1392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99</v>
      </c>
      <c r="H32" s="83">
        <v>96</v>
      </c>
      <c r="I32" s="84">
        <v>0</v>
      </c>
      <c r="J32" s="85"/>
      <c r="K32" s="85"/>
      <c r="L32" s="85">
        <v>0</v>
      </c>
      <c r="M32" s="85">
        <v>0</v>
      </c>
      <c r="N32" s="85">
        <v>3</v>
      </c>
      <c r="O32" s="85">
        <v>0</v>
      </c>
      <c r="P32" s="85">
        <v>0</v>
      </c>
      <c r="Q32" s="85">
        <v>0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5557</v>
      </c>
      <c r="H33" s="83">
        <v>2542</v>
      </c>
      <c r="I33" s="84">
        <v>0</v>
      </c>
      <c r="J33" s="85"/>
      <c r="K33" s="85"/>
      <c r="L33" s="85">
        <v>0</v>
      </c>
      <c r="M33" s="85">
        <v>26</v>
      </c>
      <c r="N33" s="85">
        <v>1038</v>
      </c>
      <c r="O33" s="85">
        <v>1475</v>
      </c>
      <c r="P33" s="85">
        <v>174</v>
      </c>
      <c r="Q33" s="85">
        <v>302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877</v>
      </c>
      <c r="H34" s="83">
        <v>877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129</v>
      </c>
      <c r="H35" s="83">
        <v>129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0</v>
      </c>
      <c r="H36" s="90">
        <v>0</v>
      </c>
      <c r="I36" s="91">
        <v>0</v>
      </c>
      <c r="J36" s="92"/>
      <c r="K36" s="92"/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145396</v>
      </c>
      <c r="H37" s="95">
        <v>50006</v>
      </c>
      <c r="I37" s="96">
        <v>33568</v>
      </c>
      <c r="J37" s="97">
        <v>5303</v>
      </c>
      <c r="K37" s="97">
        <v>563</v>
      </c>
      <c r="L37" s="97">
        <v>30842</v>
      </c>
      <c r="M37" s="97">
        <v>2605</v>
      </c>
      <c r="N37" s="97">
        <v>4962</v>
      </c>
      <c r="O37" s="97">
        <v>7008</v>
      </c>
      <c r="P37" s="97">
        <v>1720</v>
      </c>
      <c r="Q37" s="97">
        <v>8798</v>
      </c>
      <c r="R37" s="97">
        <v>18</v>
      </c>
      <c r="S37" s="98">
        <v>3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10970</v>
      </c>
      <c r="H39" s="83">
        <v>0</v>
      </c>
      <c r="I39" s="84">
        <v>10943</v>
      </c>
      <c r="J39" s="85">
        <v>0</v>
      </c>
      <c r="K39" s="85">
        <v>0</v>
      </c>
      <c r="L39" s="85">
        <v>0</v>
      </c>
      <c r="M39" s="85">
        <v>0</v>
      </c>
      <c r="N39" s="85">
        <v>27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9762</v>
      </c>
      <c r="H40" s="83">
        <v>0</v>
      </c>
      <c r="I40" s="84">
        <v>8139</v>
      </c>
      <c r="J40" s="85">
        <v>1400</v>
      </c>
      <c r="K40" s="85">
        <v>152</v>
      </c>
      <c r="L40" s="85">
        <v>0</v>
      </c>
      <c r="M40" s="85">
        <v>0</v>
      </c>
      <c r="N40" s="85">
        <v>71</v>
      </c>
      <c r="O40" s="85">
        <v>0</v>
      </c>
      <c r="P40" s="85">
        <v>0</v>
      </c>
      <c r="Q40" s="85">
        <v>0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12009</v>
      </c>
      <c r="H41" s="83">
        <v>0</v>
      </c>
      <c r="I41" s="84">
        <v>11473</v>
      </c>
      <c r="J41" s="85">
        <v>386</v>
      </c>
      <c r="K41" s="85">
        <v>54</v>
      </c>
      <c r="L41" s="85">
        <v>0</v>
      </c>
      <c r="M41" s="85">
        <v>0</v>
      </c>
      <c r="N41" s="85">
        <v>19</v>
      </c>
      <c r="O41" s="85">
        <v>75</v>
      </c>
      <c r="P41" s="85">
        <v>0</v>
      </c>
      <c r="Q41" s="85">
        <v>2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0</v>
      </c>
      <c r="H42" s="83">
        <v>0</v>
      </c>
      <c r="I42" s="84">
        <v>0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700</v>
      </c>
      <c r="H43" s="90">
        <v>0</v>
      </c>
      <c r="I43" s="91">
        <v>698</v>
      </c>
      <c r="J43" s="92">
        <v>0</v>
      </c>
      <c r="K43" s="92">
        <v>0</v>
      </c>
      <c r="L43" s="92">
        <v>0</v>
      </c>
      <c r="M43" s="92">
        <v>0</v>
      </c>
      <c r="N43" s="92">
        <v>2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33441</v>
      </c>
      <c r="H44" s="95">
        <v>0</v>
      </c>
      <c r="I44" s="96">
        <v>31253</v>
      </c>
      <c r="J44" s="97">
        <v>1786</v>
      </c>
      <c r="K44" s="97">
        <v>206</v>
      </c>
      <c r="L44" s="97">
        <v>0</v>
      </c>
      <c r="M44" s="97">
        <v>0</v>
      </c>
      <c r="N44" s="97">
        <v>119</v>
      </c>
      <c r="O44" s="97">
        <v>75</v>
      </c>
      <c r="P44" s="97">
        <v>0</v>
      </c>
      <c r="Q44" s="97">
        <v>2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0</v>
      </c>
      <c r="H46" s="83">
        <v>0</v>
      </c>
      <c r="I46" s="84">
        <v>0</v>
      </c>
      <c r="J46" s="85"/>
      <c r="K46" s="85"/>
      <c r="L46" s="85">
        <v>0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8580</v>
      </c>
      <c r="H47" s="83">
        <v>0</v>
      </c>
      <c r="I47" s="84">
        <v>0</v>
      </c>
      <c r="J47" s="85">
        <v>0</v>
      </c>
      <c r="K47" s="85">
        <v>0</v>
      </c>
      <c r="L47" s="85">
        <v>8277</v>
      </c>
      <c r="M47" s="85">
        <v>286</v>
      </c>
      <c r="N47" s="85">
        <v>1</v>
      </c>
      <c r="O47" s="85">
        <v>0</v>
      </c>
      <c r="P47" s="85">
        <v>16</v>
      </c>
      <c r="Q47" s="85">
        <v>0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3084</v>
      </c>
      <c r="H48" s="83">
        <v>0</v>
      </c>
      <c r="I48" s="84">
        <v>0</v>
      </c>
      <c r="J48" s="85">
        <v>0</v>
      </c>
      <c r="K48" s="85">
        <v>0</v>
      </c>
      <c r="L48" s="85">
        <v>2805</v>
      </c>
      <c r="M48" s="85">
        <v>183</v>
      </c>
      <c r="N48" s="85">
        <v>6</v>
      </c>
      <c r="O48" s="85">
        <v>0</v>
      </c>
      <c r="P48" s="85">
        <v>90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22765</v>
      </c>
      <c r="H49" s="90">
        <v>0</v>
      </c>
      <c r="I49" s="91">
        <v>0</v>
      </c>
      <c r="J49" s="92">
        <v>0</v>
      </c>
      <c r="K49" s="92">
        <v>0</v>
      </c>
      <c r="L49" s="92">
        <v>18675</v>
      </c>
      <c r="M49" s="92">
        <v>903</v>
      </c>
      <c r="N49" s="92">
        <v>303</v>
      </c>
      <c r="O49" s="92">
        <v>2167</v>
      </c>
      <c r="P49" s="92">
        <v>717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34429</v>
      </c>
      <c r="H50" s="95">
        <v>0</v>
      </c>
      <c r="I50" s="96">
        <v>0</v>
      </c>
      <c r="J50" s="97">
        <v>0</v>
      </c>
      <c r="K50" s="97">
        <v>0</v>
      </c>
      <c r="L50" s="97">
        <v>29757</v>
      </c>
      <c r="M50" s="97">
        <v>1372</v>
      </c>
      <c r="N50" s="97">
        <v>310</v>
      </c>
      <c r="O50" s="97">
        <v>2167</v>
      </c>
      <c r="P50" s="97">
        <v>823</v>
      </c>
      <c r="Q50" s="97">
        <v>0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6698</v>
      </c>
      <c r="H52" s="83">
        <v>0</v>
      </c>
      <c r="I52" s="84">
        <v>15</v>
      </c>
      <c r="J52" s="85">
        <v>3</v>
      </c>
      <c r="K52" s="85">
        <v>4545</v>
      </c>
      <c r="L52" s="85">
        <v>0</v>
      </c>
      <c r="M52" s="85">
        <v>8</v>
      </c>
      <c r="N52" s="85">
        <v>1194</v>
      </c>
      <c r="O52" s="85">
        <v>932</v>
      </c>
      <c r="P52" s="85">
        <v>1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17113</v>
      </c>
      <c r="H53" s="90">
        <v>0</v>
      </c>
      <c r="I53" s="91">
        <v>13704</v>
      </c>
      <c r="J53" s="92">
        <v>1427</v>
      </c>
      <c r="K53" s="92">
        <v>1391</v>
      </c>
      <c r="L53" s="92">
        <v>0</v>
      </c>
      <c r="M53" s="92">
        <v>0</v>
      </c>
      <c r="N53" s="92">
        <v>131</v>
      </c>
      <c r="O53" s="92">
        <v>0</v>
      </c>
      <c r="P53" s="92">
        <v>0</v>
      </c>
      <c r="Q53" s="92">
        <v>460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23811</v>
      </c>
      <c r="H54" s="95">
        <v>0</v>
      </c>
      <c r="I54" s="96">
        <v>13719</v>
      </c>
      <c r="J54" s="97">
        <v>1430</v>
      </c>
      <c r="K54" s="97">
        <v>5936</v>
      </c>
      <c r="L54" s="97">
        <v>0</v>
      </c>
      <c r="M54" s="97">
        <v>8</v>
      </c>
      <c r="N54" s="97">
        <v>1325</v>
      </c>
      <c r="O54" s="97">
        <v>932</v>
      </c>
      <c r="P54" s="97">
        <v>1</v>
      </c>
      <c r="Q54" s="97">
        <v>460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/>
      <c r="I55" s="101"/>
      <c r="J55" s="102"/>
      <c r="K55" s="102"/>
      <c r="L55" s="102"/>
      <c r="M55" s="102"/>
      <c r="N55" s="102"/>
      <c r="O55" s="102"/>
      <c r="P55" s="102"/>
      <c r="Q55" s="102"/>
      <c r="R55" s="102"/>
      <c r="S55" s="103"/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5909</v>
      </c>
      <c r="H57" s="83">
        <v>0</v>
      </c>
      <c r="I57" s="84">
        <v>0</v>
      </c>
      <c r="J57" s="85"/>
      <c r="K57" s="85"/>
      <c r="L57" s="85">
        <v>0</v>
      </c>
      <c r="M57" s="85">
        <v>0</v>
      </c>
      <c r="N57" s="85">
        <v>2162</v>
      </c>
      <c r="O57" s="85">
        <v>3478</v>
      </c>
      <c r="P57" s="85">
        <v>108</v>
      </c>
      <c r="Q57" s="85">
        <v>143</v>
      </c>
      <c r="R57" s="85">
        <v>0</v>
      </c>
      <c r="S57" s="87">
        <v>18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522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522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227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227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530</v>
      </c>
      <c r="H60" s="83">
        <v>0</v>
      </c>
      <c r="I60" s="84">
        <v>0</v>
      </c>
      <c r="J60" s="85"/>
      <c r="K60" s="85"/>
      <c r="L60" s="85">
        <v>0</v>
      </c>
      <c r="M60" s="85">
        <v>323</v>
      </c>
      <c r="N60" s="85">
        <v>0</v>
      </c>
      <c r="O60" s="85"/>
      <c r="P60" s="85"/>
      <c r="Q60" s="85">
        <v>0</v>
      </c>
      <c r="R60" s="85">
        <v>0</v>
      </c>
      <c r="S60" s="87">
        <v>207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2430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2430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3630</v>
      </c>
      <c r="H62" s="83">
        <v>0</v>
      </c>
      <c r="I62" s="84">
        <v>0</v>
      </c>
      <c r="J62" s="85">
        <v>0</v>
      </c>
      <c r="K62" s="85">
        <v>1050</v>
      </c>
      <c r="L62" s="85">
        <v>0</v>
      </c>
      <c r="M62" s="85">
        <v>0</v>
      </c>
      <c r="N62" s="85">
        <v>1067</v>
      </c>
      <c r="O62" s="85">
        <v>464</v>
      </c>
      <c r="P62" s="85">
        <v>153</v>
      </c>
      <c r="Q62" s="85">
        <v>672</v>
      </c>
      <c r="R62" s="85">
        <v>0</v>
      </c>
      <c r="S62" s="87">
        <v>224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4834</v>
      </c>
      <c r="H63" s="83">
        <v>0</v>
      </c>
      <c r="I63" s="84">
        <v>0</v>
      </c>
      <c r="J63" s="85">
        <v>0</v>
      </c>
      <c r="K63" s="85">
        <v>1046</v>
      </c>
      <c r="L63" s="85">
        <v>0</v>
      </c>
      <c r="M63" s="85">
        <v>0</v>
      </c>
      <c r="N63" s="85">
        <v>919</v>
      </c>
      <c r="O63" s="85">
        <v>1233</v>
      </c>
      <c r="P63" s="85">
        <v>81</v>
      </c>
      <c r="Q63" s="85">
        <v>66</v>
      </c>
      <c r="R63" s="85">
        <v>0</v>
      </c>
      <c r="S63" s="87">
        <v>1489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146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146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2344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1225</v>
      </c>
      <c r="P65" s="85">
        <v>0</v>
      </c>
      <c r="Q65" s="85">
        <v>0</v>
      </c>
      <c r="R65" s="85">
        <v>0</v>
      </c>
      <c r="S65" s="87">
        <v>1119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127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127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1302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149</v>
      </c>
      <c r="O67" s="92">
        <v>7</v>
      </c>
      <c r="P67" s="92">
        <v>12</v>
      </c>
      <c r="Q67" s="92">
        <v>587</v>
      </c>
      <c r="R67" s="92">
        <v>0</v>
      </c>
      <c r="S67" s="104">
        <v>547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22001</v>
      </c>
      <c r="H68" s="106">
        <v>0</v>
      </c>
      <c r="I68" s="107">
        <v>0</v>
      </c>
      <c r="J68" s="108">
        <v>0</v>
      </c>
      <c r="K68" s="108">
        <v>2096</v>
      </c>
      <c r="L68" s="108">
        <v>0</v>
      </c>
      <c r="M68" s="108">
        <v>323</v>
      </c>
      <c r="N68" s="108">
        <v>4297</v>
      </c>
      <c r="O68" s="108">
        <v>6407</v>
      </c>
      <c r="P68" s="108">
        <v>354</v>
      </c>
      <c r="Q68" s="108">
        <v>1468</v>
      </c>
      <c r="R68" s="108">
        <v>0</v>
      </c>
      <c r="S68" s="109">
        <v>7056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4033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4033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8836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48</v>
      </c>
      <c r="O70" s="85">
        <v>9</v>
      </c>
      <c r="P70" s="85">
        <v>940</v>
      </c>
      <c r="Q70" s="85">
        <v>102</v>
      </c>
      <c r="R70" s="85">
        <v>7737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7543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184</v>
      </c>
      <c r="O71" s="85">
        <v>0</v>
      </c>
      <c r="P71" s="85">
        <v>187</v>
      </c>
      <c r="Q71" s="85">
        <v>81</v>
      </c>
      <c r="R71" s="85">
        <v>7091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6359</v>
      </c>
      <c r="H72" s="83">
        <v>0</v>
      </c>
      <c r="I72" s="84">
        <v>0</v>
      </c>
      <c r="J72" s="85"/>
      <c r="K72" s="85"/>
      <c r="L72" s="85">
        <v>0</v>
      </c>
      <c r="M72" s="85">
        <v>30</v>
      </c>
      <c r="N72" s="85">
        <v>189</v>
      </c>
      <c r="O72" s="85">
        <v>177</v>
      </c>
      <c r="P72" s="85">
        <v>17</v>
      </c>
      <c r="Q72" s="85">
        <v>53</v>
      </c>
      <c r="R72" s="85">
        <v>5893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0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193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193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26964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30</v>
      </c>
      <c r="N75" s="108">
        <v>421</v>
      </c>
      <c r="O75" s="108">
        <v>186</v>
      </c>
      <c r="P75" s="108">
        <v>1144</v>
      </c>
      <c r="Q75" s="108">
        <v>236</v>
      </c>
      <c r="R75" s="108">
        <v>24947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0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0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0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0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81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35</v>
      </c>
      <c r="P79" s="80">
        <v>0</v>
      </c>
      <c r="Q79" s="80">
        <v>46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23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23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479</v>
      </c>
      <c r="H81" s="83">
        <v>0</v>
      </c>
      <c r="I81" s="84">
        <v>0</v>
      </c>
      <c r="J81" s="85"/>
      <c r="K81" s="85"/>
      <c r="L81" s="85">
        <v>0</v>
      </c>
      <c r="M81" s="85">
        <v>272</v>
      </c>
      <c r="N81" s="85">
        <v>0</v>
      </c>
      <c r="O81" s="85"/>
      <c r="P81" s="85"/>
      <c r="Q81" s="85">
        <v>207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25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25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2008</v>
      </c>
      <c r="H85" s="83">
        <v>0</v>
      </c>
      <c r="I85" s="84">
        <v>0</v>
      </c>
      <c r="J85" s="85"/>
      <c r="K85" s="85"/>
      <c r="L85" s="85">
        <v>0</v>
      </c>
      <c r="M85" s="85">
        <v>1200</v>
      </c>
      <c r="N85" s="85">
        <v>181</v>
      </c>
      <c r="O85" s="85"/>
      <c r="P85" s="85"/>
      <c r="Q85" s="85">
        <v>627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166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166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597</v>
      </c>
      <c r="H87" s="83">
        <v>0</v>
      </c>
      <c r="I87" s="84">
        <v>0</v>
      </c>
      <c r="J87" s="85"/>
      <c r="K87" s="85"/>
      <c r="L87" s="85">
        <v>0</v>
      </c>
      <c r="M87" s="85">
        <v>4</v>
      </c>
      <c r="N87" s="85">
        <v>0</v>
      </c>
      <c r="O87" s="85"/>
      <c r="P87" s="85"/>
      <c r="Q87" s="85">
        <v>593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1</v>
      </c>
      <c r="H88" s="83">
        <v>0</v>
      </c>
      <c r="I88" s="84">
        <v>0</v>
      </c>
      <c r="J88" s="85"/>
      <c r="K88" s="85"/>
      <c r="L88" s="85">
        <v>0</v>
      </c>
      <c r="M88" s="85">
        <v>1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1130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633</v>
      </c>
      <c r="N92" s="85">
        <v>0</v>
      </c>
      <c r="O92" s="85">
        <v>248</v>
      </c>
      <c r="P92" s="85">
        <v>0</v>
      </c>
      <c r="Q92" s="85">
        <v>249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143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34</v>
      </c>
      <c r="P93" s="85">
        <v>0</v>
      </c>
      <c r="Q93" s="85">
        <v>109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187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187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761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761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931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240</v>
      </c>
      <c r="O97" s="92"/>
      <c r="P97" s="92"/>
      <c r="Q97" s="92">
        <v>691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6532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2110</v>
      </c>
      <c r="N98" s="108">
        <v>421</v>
      </c>
      <c r="O98" s="108">
        <v>483</v>
      </c>
      <c r="P98" s="108">
        <v>0</v>
      </c>
      <c r="Q98" s="108">
        <v>3518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15</v>
      </c>
      <c r="H101" s="83">
        <v>0</v>
      </c>
      <c r="I101" s="84">
        <v>0</v>
      </c>
      <c r="J101" s="85"/>
      <c r="K101" s="85"/>
      <c r="L101" s="85">
        <v>0</v>
      </c>
      <c r="M101" s="85">
        <v>5</v>
      </c>
      <c r="N101" s="85">
        <v>8</v>
      </c>
      <c r="O101" s="85">
        <v>0</v>
      </c>
      <c r="P101" s="85">
        <v>0</v>
      </c>
      <c r="Q101" s="85">
        <v>2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111</v>
      </c>
      <c r="H102" s="83">
        <v>99</v>
      </c>
      <c r="I102" s="84">
        <v>0</v>
      </c>
      <c r="J102" s="85">
        <v>0</v>
      </c>
      <c r="K102" s="85">
        <v>0</v>
      </c>
      <c r="L102" s="85">
        <v>10</v>
      </c>
      <c r="M102" s="85">
        <v>0</v>
      </c>
      <c r="N102" s="85">
        <v>2</v>
      </c>
      <c r="O102" s="85">
        <v>0</v>
      </c>
      <c r="P102" s="85">
        <v>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30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30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99</v>
      </c>
      <c r="H106" s="83">
        <v>0</v>
      </c>
      <c r="I106" s="84">
        <v>0</v>
      </c>
      <c r="J106" s="85"/>
      <c r="K106" s="85"/>
      <c r="L106" s="85">
        <v>0</v>
      </c>
      <c r="M106" s="85">
        <v>0</v>
      </c>
      <c r="N106" s="85">
        <v>2</v>
      </c>
      <c r="O106" s="85">
        <v>97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50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50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305</v>
      </c>
      <c r="H108" s="95">
        <v>99</v>
      </c>
      <c r="I108" s="96">
        <v>0</v>
      </c>
      <c r="J108" s="97">
        <v>0</v>
      </c>
      <c r="K108" s="97">
        <v>0</v>
      </c>
      <c r="L108" s="97">
        <v>10</v>
      </c>
      <c r="M108" s="97">
        <v>5</v>
      </c>
      <c r="N108" s="97">
        <v>12</v>
      </c>
      <c r="O108" s="97">
        <v>127</v>
      </c>
      <c r="P108" s="97">
        <v>0</v>
      </c>
      <c r="Q108" s="97">
        <v>52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292879</v>
      </c>
      <c r="H110" s="116">
        <v>50105</v>
      </c>
      <c r="I110" s="117">
        <v>78540</v>
      </c>
      <c r="J110" s="118">
        <v>8519</v>
      </c>
      <c r="K110" s="118">
        <v>8801</v>
      </c>
      <c r="L110" s="118">
        <v>60609</v>
      </c>
      <c r="M110" s="118">
        <v>6453</v>
      </c>
      <c r="N110" s="118">
        <v>11867</v>
      </c>
      <c r="O110" s="118">
        <v>17385</v>
      </c>
      <c r="P110" s="118">
        <v>4042</v>
      </c>
      <c r="Q110" s="118">
        <v>14534</v>
      </c>
      <c r="R110" s="118">
        <v>24965</v>
      </c>
      <c r="S110" s="119">
        <v>7059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24897</v>
      </c>
      <c r="H111" s="121">
        <v>6512</v>
      </c>
      <c r="I111" s="122">
        <v>2665</v>
      </c>
      <c r="J111" s="123">
        <v>378</v>
      </c>
      <c r="K111" s="123">
        <v>9</v>
      </c>
      <c r="L111" s="123">
        <v>12145</v>
      </c>
      <c r="M111" s="123">
        <v>1430</v>
      </c>
      <c r="N111" s="123">
        <v>171</v>
      </c>
      <c r="O111" s="123">
        <v>22</v>
      </c>
      <c r="P111" s="123">
        <v>29</v>
      </c>
      <c r="Q111" s="123">
        <v>968</v>
      </c>
      <c r="R111" s="123">
        <v>18</v>
      </c>
      <c r="S111" s="124">
        <v>550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26"/>
      <c r="I112" s="126"/>
      <c r="J112" s="126"/>
      <c r="K112" s="127"/>
      <c r="L112" s="127"/>
      <c r="M112" s="126"/>
      <c r="N112" s="126"/>
      <c r="O112" s="126"/>
      <c r="P112" s="128"/>
      <c r="Q112" s="126"/>
      <c r="R112" s="126"/>
      <c r="S112" s="126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9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96AF-DEFE-4BE8-8CAD-385D9077A394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5" activePane="bottomRight" state="frozen"/>
      <selection activeCell="V17" sqref="V17"/>
      <selection pane="topRight" activeCell="V17" sqref="V17"/>
      <selection pane="bottomLeft" activeCell="V17" sqref="V17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99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10553</v>
      </c>
      <c r="H6" s="78">
        <v>1028</v>
      </c>
      <c r="I6" s="79">
        <v>0</v>
      </c>
      <c r="J6" s="80"/>
      <c r="K6" s="80"/>
      <c r="L6" s="80">
        <v>5621</v>
      </c>
      <c r="M6" s="80">
        <v>156</v>
      </c>
      <c r="N6" s="80">
        <v>1444</v>
      </c>
      <c r="O6" s="80">
        <v>138</v>
      </c>
      <c r="P6" s="80">
        <v>1409</v>
      </c>
      <c r="Q6" s="80">
        <v>757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3634</v>
      </c>
      <c r="H8" s="83">
        <v>3634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628</v>
      </c>
      <c r="H9" s="83">
        <v>628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215</v>
      </c>
      <c r="H10" s="83">
        <v>0</v>
      </c>
      <c r="I10" s="84">
        <v>0</v>
      </c>
      <c r="J10" s="85">
        <v>3</v>
      </c>
      <c r="K10" s="85">
        <v>0</v>
      </c>
      <c r="L10" s="85">
        <v>0</v>
      </c>
      <c r="M10" s="85">
        <v>28</v>
      </c>
      <c r="N10" s="85">
        <v>4</v>
      </c>
      <c r="O10" s="85">
        <v>94</v>
      </c>
      <c r="P10" s="85">
        <v>0</v>
      </c>
      <c r="Q10" s="85">
        <v>86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10972</v>
      </c>
      <c r="H11" s="83">
        <v>3581</v>
      </c>
      <c r="I11" s="84">
        <v>6245</v>
      </c>
      <c r="J11" s="85">
        <v>0</v>
      </c>
      <c r="K11" s="85">
        <v>0</v>
      </c>
      <c r="L11" s="85">
        <v>0</v>
      </c>
      <c r="M11" s="85">
        <v>3</v>
      </c>
      <c r="N11" s="85">
        <v>17</v>
      </c>
      <c r="O11" s="85">
        <v>1126</v>
      </c>
      <c r="P11" s="85">
        <v>0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2</v>
      </c>
      <c r="H12" s="83">
        <v>0</v>
      </c>
      <c r="I12" s="84">
        <v>0</v>
      </c>
      <c r="J12" s="85">
        <v>0</v>
      </c>
      <c r="K12" s="85">
        <v>0</v>
      </c>
      <c r="L12" s="85">
        <v>1</v>
      </c>
      <c r="M12" s="85">
        <v>0</v>
      </c>
      <c r="N12" s="85">
        <v>0</v>
      </c>
      <c r="O12" s="85">
        <v>0</v>
      </c>
      <c r="P12" s="85">
        <v>1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2646</v>
      </c>
      <c r="H13" s="83">
        <v>2566</v>
      </c>
      <c r="I13" s="84">
        <v>0</v>
      </c>
      <c r="J13" s="85">
        <v>0</v>
      </c>
      <c r="K13" s="85">
        <v>0</v>
      </c>
      <c r="L13" s="85">
        <v>0</v>
      </c>
      <c r="M13" s="85">
        <v>10</v>
      </c>
      <c r="N13" s="85">
        <v>0</v>
      </c>
      <c r="O13" s="85">
        <v>70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153</v>
      </c>
      <c r="H14" s="83">
        <v>147</v>
      </c>
      <c r="I14" s="84">
        <v>0</v>
      </c>
      <c r="J14" s="85">
        <v>0</v>
      </c>
      <c r="K14" s="85">
        <v>0</v>
      </c>
      <c r="L14" s="85">
        <v>0</v>
      </c>
      <c r="M14" s="85">
        <v>6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6758</v>
      </c>
      <c r="H15" s="83">
        <v>0</v>
      </c>
      <c r="I15" s="84">
        <v>0</v>
      </c>
      <c r="J15" s="85"/>
      <c r="K15" s="85"/>
      <c r="L15" s="85">
        <v>4475</v>
      </c>
      <c r="M15" s="85">
        <v>440</v>
      </c>
      <c r="N15" s="85">
        <v>193</v>
      </c>
      <c r="O15" s="85">
        <v>389</v>
      </c>
      <c r="P15" s="85">
        <v>656</v>
      </c>
      <c r="Q15" s="85">
        <v>605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12633</v>
      </c>
      <c r="H16" s="83">
        <v>5101</v>
      </c>
      <c r="I16" s="84">
        <v>4051</v>
      </c>
      <c r="J16" s="85">
        <v>1219</v>
      </c>
      <c r="K16" s="85">
        <v>0</v>
      </c>
      <c r="L16" s="85">
        <v>0</v>
      </c>
      <c r="M16" s="85">
        <v>123</v>
      </c>
      <c r="N16" s="85">
        <v>870</v>
      </c>
      <c r="O16" s="85">
        <v>328</v>
      </c>
      <c r="P16" s="85">
        <v>0</v>
      </c>
      <c r="Q16" s="85">
        <v>941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5447</v>
      </c>
      <c r="H17" s="83">
        <v>0</v>
      </c>
      <c r="I17" s="84">
        <v>5069</v>
      </c>
      <c r="J17" s="85">
        <v>91</v>
      </c>
      <c r="K17" s="85">
        <v>3</v>
      </c>
      <c r="L17" s="85">
        <v>0</v>
      </c>
      <c r="M17" s="85">
        <v>36</v>
      </c>
      <c r="N17" s="85">
        <v>245</v>
      </c>
      <c r="O17" s="85">
        <v>0</v>
      </c>
      <c r="P17" s="85">
        <v>0</v>
      </c>
      <c r="Q17" s="85">
        <v>3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2</v>
      </c>
      <c r="H18" s="83">
        <v>0</v>
      </c>
      <c r="I18" s="84">
        <v>0</v>
      </c>
      <c r="J18" s="85">
        <v>0</v>
      </c>
      <c r="K18" s="85">
        <v>0</v>
      </c>
      <c r="L18" s="85">
        <v>1</v>
      </c>
      <c r="M18" s="85">
        <v>0</v>
      </c>
      <c r="N18" s="85">
        <v>1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8678</v>
      </c>
      <c r="H19" s="83">
        <v>1644</v>
      </c>
      <c r="I19" s="84">
        <v>1781</v>
      </c>
      <c r="J19" s="85">
        <v>727</v>
      </c>
      <c r="K19" s="85">
        <v>80</v>
      </c>
      <c r="L19" s="85">
        <v>3444</v>
      </c>
      <c r="M19" s="85">
        <v>2</v>
      </c>
      <c r="N19" s="85">
        <v>187</v>
      </c>
      <c r="O19" s="85">
        <v>634</v>
      </c>
      <c r="P19" s="85">
        <v>58</v>
      </c>
      <c r="Q19" s="85">
        <v>121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1726</v>
      </c>
      <c r="H20" s="83">
        <v>72</v>
      </c>
      <c r="I20" s="84">
        <v>569</v>
      </c>
      <c r="J20" s="85">
        <v>330</v>
      </c>
      <c r="K20" s="85">
        <v>0</v>
      </c>
      <c r="L20" s="85">
        <v>745</v>
      </c>
      <c r="M20" s="85">
        <v>0</v>
      </c>
      <c r="N20" s="85">
        <v>0</v>
      </c>
      <c r="O20" s="85">
        <v>0</v>
      </c>
      <c r="P20" s="85">
        <v>5</v>
      </c>
      <c r="Q20" s="85">
        <v>5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4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1</v>
      </c>
      <c r="Q21" s="85">
        <v>3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10012</v>
      </c>
      <c r="H23" s="83">
        <v>3057</v>
      </c>
      <c r="I23" s="84">
        <v>0</v>
      </c>
      <c r="J23" s="85"/>
      <c r="K23" s="85"/>
      <c r="L23" s="85">
        <v>5551</v>
      </c>
      <c r="M23" s="85">
        <v>957</v>
      </c>
      <c r="N23" s="85">
        <v>54</v>
      </c>
      <c r="O23" s="85">
        <v>0</v>
      </c>
      <c r="P23" s="85">
        <v>6</v>
      </c>
      <c r="Q23" s="85">
        <v>387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831</v>
      </c>
      <c r="H24" s="83">
        <v>831</v>
      </c>
      <c r="I24" s="84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0</v>
      </c>
      <c r="H25" s="83">
        <v>0</v>
      </c>
      <c r="I25" s="84">
        <v>0</v>
      </c>
      <c r="J25" s="85"/>
      <c r="K25" s="85"/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3070</v>
      </c>
      <c r="H26" s="83">
        <v>789</v>
      </c>
      <c r="I26" s="84">
        <v>340</v>
      </c>
      <c r="J26" s="85">
        <v>24</v>
      </c>
      <c r="K26" s="85">
        <v>3</v>
      </c>
      <c r="L26" s="85">
        <v>1441</v>
      </c>
      <c r="M26" s="85">
        <v>350</v>
      </c>
      <c r="N26" s="85">
        <v>4</v>
      </c>
      <c r="O26" s="85">
        <v>9</v>
      </c>
      <c r="P26" s="85">
        <v>12</v>
      </c>
      <c r="Q26" s="85">
        <v>61</v>
      </c>
      <c r="R26" s="85">
        <v>37</v>
      </c>
      <c r="S26" s="86">
        <v>0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1890</v>
      </c>
      <c r="H27" s="83">
        <v>150</v>
      </c>
      <c r="I27" s="84">
        <v>115</v>
      </c>
      <c r="J27" s="85">
        <v>475</v>
      </c>
      <c r="K27" s="85">
        <v>0</v>
      </c>
      <c r="L27" s="85">
        <v>1070</v>
      </c>
      <c r="M27" s="85">
        <v>16</v>
      </c>
      <c r="N27" s="85">
        <v>3</v>
      </c>
      <c r="O27" s="85">
        <v>6</v>
      </c>
      <c r="P27" s="85">
        <v>0</v>
      </c>
      <c r="Q27" s="85">
        <v>52</v>
      </c>
      <c r="R27" s="85">
        <v>3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18442</v>
      </c>
      <c r="H28" s="83">
        <v>6703</v>
      </c>
      <c r="I28" s="84">
        <v>5548</v>
      </c>
      <c r="J28" s="85">
        <v>2496</v>
      </c>
      <c r="K28" s="85">
        <v>529</v>
      </c>
      <c r="L28" s="85">
        <v>0</v>
      </c>
      <c r="M28" s="85">
        <v>439</v>
      </c>
      <c r="N28" s="85">
        <v>598</v>
      </c>
      <c r="O28" s="85">
        <v>4</v>
      </c>
      <c r="P28" s="85">
        <v>0</v>
      </c>
      <c r="Q28" s="85">
        <v>2125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15213</v>
      </c>
      <c r="H29" s="83">
        <v>8796</v>
      </c>
      <c r="I29" s="84">
        <v>2046</v>
      </c>
      <c r="J29" s="85">
        <v>326</v>
      </c>
      <c r="K29" s="85">
        <v>0</v>
      </c>
      <c r="L29" s="85">
        <v>898</v>
      </c>
      <c r="M29" s="85">
        <v>225</v>
      </c>
      <c r="N29" s="85">
        <v>167</v>
      </c>
      <c r="O29" s="85">
        <v>1640</v>
      </c>
      <c r="P29" s="85">
        <v>57</v>
      </c>
      <c r="Q29" s="85">
        <v>1058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0</v>
      </c>
      <c r="H30" s="83">
        <v>0</v>
      </c>
      <c r="I30" s="84">
        <v>0</v>
      </c>
      <c r="J30" s="85"/>
      <c r="K30" s="85"/>
      <c r="L30" s="85">
        <v>0</v>
      </c>
      <c r="M30" s="85">
        <v>0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16558</v>
      </c>
      <c r="H31" s="83">
        <v>7592</v>
      </c>
      <c r="I31" s="84">
        <v>6405</v>
      </c>
      <c r="J31" s="85">
        <v>629</v>
      </c>
      <c r="K31" s="85">
        <v>0</v>
      </c>
      <c r="L31" s="85">
        <v>0</v>
      </c>
      <c r="M31" s="85">
        <v>18</v>
      </c>
      <c r="N31" s="85">
        <v>183</v>
      </c>
      <c r="O31" s="85">
        <v>640</v>
      </c>
      <c r="P31" s="85">
        <v>19</v>
      </c>
      <c r="Q31" s="85">
        <v>1072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1253</v>
      </c>
      <c r="H32" s="83">
        <v>1248</v>
      </c>
      <c r="I32" s="84">
        <v>0</v>
      </c>
      <c r="J32" s="85"/>
      <c r="K32" s="85"/>
      <c r="L32" s="85">
        <v>0</v>
      </c>
      <c r="M32" s="85">
        <v>0</v>
      </c>
      <c r="N32" s="85">
        <v>5</v>
      </c>
      <c r="O32" s="85">
        <v>0</v>
      </c>
      <c r="P32" s="85">
        <v>0</v>
      </c>
      <c r="Q32" s="85">
        <v>0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5622</v>
      </c>
      <c r="H33" s="83">
        <v>2806</v>
      </c>
      <c r="I33" s="84">
        <v>0</v>
      </c>
      <c r="J33" s="85"/>
      <c r="K33" s="85"/>
      <c r="L33" s="85">
        <v>0</v>
      </c>
      <c r="M33" s="85">
        <v>25</v>
      </c>
      <c r="N33" s="85">
        <v>1100</v>
      </c>
      <c r="O33" s="85">
        <v>1238</v>
      </c>
      <c r="P33" s="85">
        <v>166</v>
      </c>
      <c r="Q33" s="85">
        <v>287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498</v>
      </c>
      <c r="H34" s="83">
        <v>497</v>
      </c>
      <c r="I34" s="84">
        <v>0</v>
      </c>
      <c r="J34" s="85"/>
      <c r="K34" s="85"/>
      <c r="L34" s="85">
        <v>0</v>
      </c>
      <c r="M34" s="85">
        <v>1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135</v>
      </c>
      <c r="H35" s="83">
        <v>135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0</v>
      </c>
      <c r="H36" s="90">
        <v>0</v>
      </c>
      <c r="I36" s="91">
        <v>0</v>
      </c>
      <c r="J36" s="92"/>
      <c r="K36" s="92"/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137575</v>
      </c>
      <c r="H37" s="95">
        <v>51005</v>
      </c>
      <c r="I37" s="96">
        <v>32169</v>
      </c>
      <c r="J37" s="97">
        <v>6320</v>
      </c>
      <c r="K37" s="97">
        <v>615</v>
      </c>
      <c r="L37" s="97">
        <v>23247</v>
      </c>
      <c r="M37" s="97">
        <v>2835</v>
      </c>
      <c r="N37" s="97">
        <v>5075</v>
      </c>
      <c r="O37" s="97">
        <v>6316</v>
      </c>
      <c r="P37" s="97">
        <v>2390</v>
      </c>
      <c r="Q37" s="97">
        <v>7563</v>
      </c>
      <c r="R37" s="97">
        <v>40</v>
      </c>
      <c r="S37" s="98">
        <v>0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3</v>
      </c>
      <c r="H38" s="83">
        <v>0</v>
      </c>
      <c r="I38" s="84">
        <v>3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10651</v>
      </c>
      <c r="H39" s="83">
        <v>0</v>
      </c>
      <c r="I39" s="84">
        <v>10630</v>
      </c>
      <c r="J39" s="85">
        <v>0</v>
      </c>
      <c r="K39" s="85">
        <v>0</v>
      </c>
      <c r="L39" s="85">
        <v>0</v>
      </c>
      <c r="M39" s="85">
        <v>0</v>
      </c>
      <c r="N39" s="85">
        <v>21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9363</v>
      </c>
      <c r="H40" s="83">
        <v>0</v>
      </c>
      <c r="I40" s="84">
        <v>7613</v>
      </c>
      <c r="J40" s="85">
        <v>1542</v>
      </c>
      <c r="K40" s="85">
        <v>141</v>
      </c>
      <c r="L40" s="85">
        <v>0</v>
      </c>
      <c r="M40" s="85">
        <v>0</v>
      </c>
      <c r="N40" s="85">
        <v>66</v>
      </c>
      <c r="O40" s="85">
        <v>0</v>
      </c>
      <c r="P40" s="85">
        <v>0</v>
      </c>
      <c r="Q40" s="85">
        <v>1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11431</v>
      </c>
      <c r="H41" s="83">
        <v>0</v>
      </c>
      <c r="I41" s="84">
        <v>10860</v>
      </c>
      <c r="J41" s="85">
        <v>431</v>
      </c>
      <c r="K41" s="85">
        <v>28</v>
      </c>
      <c r="L41" s="85">
        <v>0</v>
      </c>
      <c r="M41" s="85">
        <v>0</v>
      </c>
      <c r="N41" s="85">
        <v>8</v>
      </c>
      <c r="O41" s="85">
        <v>103</v>
      </c>
      <c r="P41" s="85">
        <v>0</v>
      </c>
      <c r="Q41" s="85">
        <v>1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393</v>
      </c>
      <c r="H42" s="83">
        <v>0</v>
      </c>
      <c r="I42" s="84">
        <v>316</v>
      </c>
      <c r="J42" s="85">
        <v>77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118</v>
      </c>
      <c r="H43" s="90">
        <v>0</v>
      </c>
      <c r="I43" s="91">
        <v>117</v>
      </c>
      <c r="J43" s="92">
        <v>0</v>
      </c>
      <c r="K43" s="92">
        <v>0</v>
      </c>
      <c r="L43" s="92">
        <v>0</v>
      </c>
      <c r="M43" s="92">
        <v>0</v>
      </c>
      <c r="N43" s="92">
        <v>1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31959</v>
      </c>
      <c r="H44" s="95">
        <v>0</v>
      </c>
      <c r="I44" s="96">
        <v>29539</v>
      </c>
      <c r="J44" s="97">
        <v>2050</v>
      </c>
      <c r="K44" s="97">
        <v>169</v>
      </c>
      <c r="L44" s="97">
        <v>0</v>
      </c>
      <c r="M44" s="97">
        <v>0</v>
      </c>
      <c r="N44" s="97">
        <v>96</v>
      </c>
      <c r="O44" s="97">
        <v>103</v>
      </c>
      <c r="P44" s="97">
        <v>0</v>
      </c>
      <c r="Q44" s="97">
        <v>2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0</v>
      </c>
      <c r="H46" s="83">
        <v>0</v>
      </c>
      <c r="I46" s="84">
        <v>0</v>
      </c>
      <c r="J46" s="85"/>
      <c r="K46" s="85"/>
      <c r="L46" s="85">
        <v>0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6522</v>
      </c>
      <c r="H47" s="83">
        <v>0</v>
      </c>
      <c r="I47" s="84">
        <v>0</v>
      </c>
      <c r="J47" s="85">
        <v>0</v>
      </c>
      <c r="K47" s="85">
        <v>0</v>
      </c>
      <c r="L47" s="85">
        <v>6207</v>
      </c>
      <c r="M47" s="85">
        <v>296</v>
      </c>
      <c r="N47" s="85">
        <v>4</v>
      </c>
      <c r="O47" s="85">
        <v>0</v>
      </c>
      <c r="P47" s="85">
        <v>15</v>
      </c>
      <c r="Q47" s="85">
        <v>0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3211</v>
      </c>
      <c r="H48" s="83">
        <v>0</v>
      </c>
      <c r="I48" s="84">
        <v>0</v>
      </c>
      <c r="J48" s="85">
        <v>0</v>
      </c>
      <c r="K48" s="85">
        <v>0</v>
      </c>
      <c r="L48" s="85">
        <v>2588</v>
      </c>
      <c r="M48" s="85">
        <v>399</v>
      </c>
      <c r="N48" s="85">
        <v>14</v>
      </c>
      <c r="O48" s="85">
        <v>0</v>
      </c>
      <c r="P48" s="85">
        <v>210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16646</v>
      </c>
      <c r="H49" s="90">
        <v>0</v>
      </c>
      <c r="I49" s="91">
        <v>0</v>
      </c>
      <c r="J49" s="92">
        <v>0</v>
      </c>
      <c r="K49" s="92">
        <v>0</v>
      </c>
      <c r="L49" s="92">
        <v>12634</v>
      </c>
      <c r="M49" s="92">
        <v>1157</v>
      </c>
      <c r="N49" s="92">
        <v>307</v>
      </c>
      <c r="O49" s="92">
        <v>1667</v>
      </c>
      <c r="P49" s="92">
        <v>881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26379</v>
      </c>
      <c r="H50" s="95">
        <v>0</v>
      </c>
      <c r="I50" s="96">
        <v>0</v>
      </c>
      <c r="J50" s="97">
        <v>0</v>
      </c>
      <c r="K50" s="97">
        <v>0</v>
      </c>
      <c r="L50" s="97">
        <v>21429</v>
      </c>
      <c r="M50" s="97">
        <v>1852</v>
      </c>
      <c r="N50" s="97">
        <v>325</v>
      </c>
      <c r="O50" s="97">
        <v>1667</v>
      </c>
      <c r="P50" s="97">
        <v>1106</v>
      </c>
      <c r="Q50" s="97">
        <v>0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1</v>
      </c>
      <c r="H51" s="83">
        <v>0</v>
      </c>
      <c r="I51" s="84">
        <v>0</v>
      </c>
      <c r="J51" s="85">
        <v>1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6667</v>
      </c>
      <c r="H52" s="83">
        <v>0</v>
      </c>
      <c r="I52" s="84">
        <v>20</v>
      </c>
      <c r="J52" s="85">
        <v>3</v>
      </c>
      <c r="K52" s="85">
        <v>4612</v>
      </c>
      <c r="L52" s="85">
        <v>0</v>
      </c>
      <c r="M52" s="85">
        <v>0</v>
      </c>
      <c r="N52" s="85">
        <v>1531</v>
      </c>
      <c r="O52" s="85">
        <v>500</v>
      </c>
      <c r="P52" s="85">
        <v>0</v>
      </c>
      <c r="Q52" s="85">
        <v>1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16312</v>
      </c>
      <c r="H53" s="90">
        <v>0</v>
      </c>
      <c r="I53" s="91">
        <v>13077</v>
      </c>
      <c r="J53" s="92">
        <v>1507</v>
      </c>
      <c r="K53" s="92">
        <v>1088</v>
      </c>
      <c r="L53" s="92">
        <v>0</v>
      </c>
      <c r="M53" s="92">
        <v>0</v>
      </c>
      <c r="N53" s="92">
        <v>100</v>
      </c>
      <c r="O53" s="92">
        <v>35</v>
      </c>
      <c r="P53" s="92">
        <v>0</v>
      </c>
      <c r="Q53" s="92">
        <v>505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22980</v>
      </c>
      <c r="H54" s="95">
        <v>0</v>
      </c>
      <c r="I54" s="96">
        <v>13097</v>
      </c>
      <c r="J54" s="97">
        <v>1511</v>
      </c>
      <c r="K54" s="97">
        <v>5700</v>
      </c>
      <c r="L54" s="97">
        <v>0</v>
      </c>
      <c r="M54" s="97">
        <v>0</v>
      </c>
      <c r="N54" s="97">
        <v>1631</v>
      </c>
      <c r="O54" s="97">
        <v>535</v>
      </c>
      <c r="P54" s="97">
        <v>0</v>
      </c>
      <c r="Q54" s="97">
        <v>506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/>
      <c r="K55" s="102"/>
      <c r="L55" s="102">
        <v>0</v>
      </c>
      <c r="M55" s="102">
        <v>0</v>
      </c>
      <c r="N55" s="102">
        <v>0</v>
      </c>
      <c r="O55" s="102"/>
      <c r="P55" s="102"/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5590</v>
      </c>
      <c r="H57" s="83">
        <v>0</v>
      </c>
      <c r="I57" s="84">
        <v>0</v>
      </c>
      <c r="J57" s="85"/>
      <c r="K57" s="85"/>
      <c r="L57" s="85">
        <v>0</v>
      </c>
      <c r="M57" s="85">
        <v>0</v>
      </c>
      <c r="N57" s="85">
        <v>2418</v>
      </c>
      <c r="O57" s="85">
        <v>2922</v>
      </c>
      <c r="P57" s="85">
        <v>113</v>
      </c>
      <c r="Q57" s="85">
        <v>134</v>
      </c>
      <c r="R57" s="85">
        <v>0</v>
      </c>
      <c r="S57" s="87">
        <v>3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525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525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666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666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545</v>
      </c>
      <c r="H60" s="83">
        <v>0</v>
      </c>
      <c r="I60" s="84">
        <v>0</v>
      </c>
      <c r="J60" s="85"/>
      <c r="K60" s="85"/>
      <c r="L60" s="85">
        <v>0</v>
      </c>
      <c r="M60" s="85">
        <v>400</v>
      </c>
      <c r="N60" s="85">
        <v>0</v>
      </c>
      <c r="O60" s="85"/>
      <c r="P60" s="85"/>
      <c r="Q60" s="85">
        <v>0</v>
      </c>
      <c r="R60" s="85">
        <v>0</v>
      </c>
      <c r="S60" s="87">
        <v>145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2058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2058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3455</v>
      </c>
      <c r="H62" s="83">
        <v>0</v>
      </c>
      <c r="I62" s="84">
        <v>0</v>
      </c>
      <c r="J62" s="85">
        <v>0</v>
      </c>
      <c r="K62" s="85">
        <v>859</v>
      </c>
      <c r="L62" s="85">
        <v>0</v>
      </c>
      <c r="M62" s="85">
        <v>0</v>
      </c>
      <c r="N62" s="85">
        <v>1011</v>
      </c>
      <c r="O62" s="85">
        <v>382</v>
      </c>
      <c r="P62" s="85">
        <v>100</v>
      </c>
      <c r="Q62" s="85">
        <v>585</v>
      </c>
      <c r="R62" s="85">
        <v>0</v>
      </c>
      <c r="S62" s="87">
        <v>518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4100</v>
      </c>
      <c r="H63" s="83">
        <v>0</v>
      </c>
      <c r="I63" s="84">
        <v>0</v>
      </c>
      <c r="J63" s="85">
        <v>0</v>
      </c>
      <c r="K63" s="85">
        <v>1028</v>
      </c>
      <c r="L63" s="85">
        <v>0</v>
      </c>
      <c r="M63" s="85">
        <v>0</v>
      </c>
      <c r="N63" s="85">
        <v>708</v>
      </c>
      <c r="O63" s="85">
        <v>824</v>
      </c>
      <c r="P63" s="85">
        <v>99</v>
      </c>
      <c r="Q63" s="85">
        <v>58</v>
      </c>
      <c r="R63" s="85">
        <v>0</v>
      </c>
      <c r="S63" s="87">
        <v>1383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250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250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1939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980</v>
      </c>
      <c r="P65" s="85">
        <v>0</v>
      </c>
      <c r="Q65" s="85">
        <v>0</v>
      </c>
      <c r="R65" s="85">
        <v>0</v>
      </c>
      <c r="S65" s="87">
        <v>959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125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125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1047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139</v>
      </c>
      <c r="O67" s="92">
        <v>3</v>
      </c>
      <c r="P67" s="92">
        <v>15</v>
      </c>
      <c r="Q67" s="92">
        <v>466</v>
      </c>
      <c r="R67" s="92">
        <v>0</v>
      </c>
      <c r="S67" s="104">
        <v>424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20300</v>
      </c>
      <c r="H68" s="106">
        <v>0</v>
      </c>
      <c r="I68" s="107">
        <v>0</v>
      </c>
      <c r="J68" s="108">
        <v>0</v>
      </c>
      <c r="K68" s="108">
        <v>1887</v>
      </c>
      <c r="L68" s="108">
        <v>0</v>
      </c>
      <c r="M68" s="108">
        <v>400</v>
      </c>
      <c r="N68" s="108">
        <v>4276</v>
      </c>
      <c r="O68" s="108">
        <v>5111</v>
      </c>
      <c r="P68" s="108">
        <v>327</v>
      </c>
      <c r="Q68" s="108">
        <v>1243</v>
      </c>
      <c r="R68" s="108">
        <v>0</v>
      </c>
      <c r="S68" s="109">
        <v>7056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3628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3628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8510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56</v>
      </c>
      <c r="O70" s="85">
        <v>1</v>
      </c>
      <c r="P70" s="85">
        <v>866</v>
      </c>
      <c r="Q70" s="85">
        <v>71</v>
      </c>
      <c r="R70" s="85">
        <v>7516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6750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148</v>
      </c>
      <c r="O71" s="85">
        <v>0</v>
      </c>
      <c r="P71" s="85">
        <v>379</v>
      </c>
      <c r="Q71" s="85">
        <v>102</v>
      </c>
      <c r="R71" s="85">
        <v>6121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5861</v>
      </c>
      <c r="H72" s="83">
        <v>0</v>
      </c>
      <c r="I72" s="84">
        <v>0</v>
      </c>
      <c r="J72" s="85"/>
      <c r="K72" s="85"/>
      <c r="L72" s="85">
        <v>0</v>
      </c>
      <c r="M72" s="85">
        <v>33</v>
      </c>
      <c r="N72" s="85">
        <v>158</v>
      </c>
      <c r="O72" s="85">
        <v>204</v>
      </c>
      <c r="P72" s="85">
        <v>25</v>
      </c>
      <c r="Q72" s="85">
        <v>15</v>
      </c>
      <c r="R72" s="85">
        <v>5426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0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131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131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24880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33</v>
      </c>
      <c r="N75" s="108">
        <v>362</v>
      </c>
      <c r="O75" s="108">
        <v>205</v>
      </c>
      <c r="P75" s="108">
        <v>1270</v>
      </c>
      <c r="Q75" s="108">
        <v>188</v>
      </c>
      <c r="R75" s="108">
        <v>22822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0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0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0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0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90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69</v>
      </c>
      <c r="P79" s="80">
        <v>0</v>
      </c>
      <c r="Q79" s="80">
        <v>21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63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63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485</v>
      </c>
      <c r="H81" s="83">
        <v>0</v>
      </c>
      <c r="I81" s="84">
        <v>0</v>
      </c>
      <c r="J81" s="85"/>
      <c r="K81" s="85"/>
      <c r="L81" s="85">
        <v>0</v>
      </c>
      <c r="M81" s="85">
        <v>322</v>
      </c>
      <c r="N81" s="85">
        <v>0</v>
      </c>
      <c r="O81" s="85"/>
      <c r="P81" s="85"/>
      <c r="Q81" s="85">
        <v>163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15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15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2003</v>
      </c>
      <c r="H85" s="83">
        <v>0</v>
      </c>
      <c r="I85" s="84">
        <v>0</v>
      </c>
      <c r="J85" s="85"/>
      <c r="K85" s="85"/>
      <c r="L85" s="85">
        <v>0</v>
      </c>
      <c r="M85" s="85">
        <v>1330</v>
      </c>
      <c r="N85" s="85">
        <v>192</v>
      </c>
      <c r="O85" s="85"/>
      <c r="P85" s="85"/>
      <c r="Q85" s="85">
        <v>481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119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119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555</v>
      </c>
      <c r="H87" s="83">
        <v>0</v>
      </c>
      <c r="I87" s="84">
        <v>0</v>
      </c>
      <c r="J87" s="85"/>
      <c r="K87" s="85"/>
      <c r="L87" s="85">
        <v>0</v>
      </c>
      <c r="M87" s="85">
        <v>2</v>
      </c>
      <c r="N87" s="85">
        <v>0</v>
      </c>
      <c r="O87" s="85"/>
      <c r="P87" s="85"/>
      <c r="Q87" s="85">
        <v>553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/>
      <c r="K88" s="85"/>
      <c r="L88" s="85">
        <v>0</v>
      </c>
      <c r="M88" s="85">
        <v>0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1131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790</v>
      </c>
      <c r="N92" s="85">
        <v>0</v>
      </c>
      <c r="O92" s="85">
        <v>155</v>
      </c>
      <c r="P92" s="85">
        <v>0</v>
      </c>
      <c r="Q92" s="85">
        <v>186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130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32</v>
      </c>
      <c r="P93" s="85">
        <v>0</v>
      </c>
      <c r="Q93" s="85">
        <v>98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533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533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755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755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1177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246</v>
      </c>
      <c r="O97" s="92"/>
      <c r="P97" s="92"/>
      <c r="Q97" s="92">
        <v>931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7056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2444</v>
      </c>
      <c r="N98" s="108">
        <v>438</v>
      </c>
      <c r="O98" s="108">
        <v>375</v>
      </c>
      <c r="P98" s="108">
        <v>0</v>
      </c>
      <c r="Q98" s="108">
        <v>3799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2</v>
      </c>
      <c r="H101" s="83">
        <v>0</v>
      </c>
      <c r="I101" s="84">
        <v>0</v>
      </c>
      <c r="J101" s="85"/>
      <c r="K101" s="85"/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2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180</v>
      </c>
      <c r="H102" s="83">
        <v>80</v>
      </c>
      <c r="I102" s="84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100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10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10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49</v>
      </c>
      <c r="H106" s="83">
        <v>0</v>
      </c>
      <c r="I106" s="84">
        <v>1</v>
      </c>
      <c r="J106" s="85"/>
      <c r="K106" s="85"/>
      <c r="L106" s="85">
        <v>0</v>
      </c>
      <c r="M106" s="85">
        <v>0</v>
      </c>
      <c r="N106" s="85">
        <v>0</v>
      </c>
      <c r="O106" s="85">
        <v>48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46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46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287</v>
      </c>
      <c r="H108" s="95">
        <v>80</v>
      </c>
      <c r="I108" s="96">
        <v>1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58</v>
      </c>
      <c r="P108" s="97">
        <v>100</v>
      </c>
      <c r="Q108" s="97">
        <v>48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271416</v>
      </c>
      <c r="H110" s="116">
        <v>51085</v>
      </c>
      <c r="I110" s="117">
        <v>74806</v>
      </c>
      <c r="J110" s="118">
        <v>9881</v>
      </c>
      <c r="K110" s="118">
        <v>8371</v>
      </c>
      <c r="L110" s="118">
        <v>44676</v>
      </c>
      <c r="M110" s="118">
        <v>7564</v>
      </c>
      <c r="N110" s="118">
        <v>12203</v>
      </c>
      <c r="O110" s="118">
        <v>14370</v>
      </c>
      <c r="P110" s="118">
        <v>5193</v>
      </c>
      <c r="Q110" s="118">
        <v>13349</v>
      </c>
      <c r="R110" s="118">
        <v>22862</v>
      </c>
      <c r="S110" s="119">
        <v>7056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20215</v>
      </c>
      <c r="H111" s="121">
        <v>6024</v>
      </c>
      <c r="I111" s="122">
        <v>1457</v>
      </c>
      <c r="J111" s="123">
        <v>906</v>
      </c>
      <c r="K111" s="123">
        <v>3</v>
      </c>
      <c r="L111" s="123">
        <v>8808</v>
      </c>
      <c r="M111" s="123">
        <v>1324</v>
      </c>
      <c r="N111" s="123">
        <v>202</v>
      </c>
      <c r="O111" s="123">
        <v>18</v>
      </c>
      <c r="P111" s="123">
        <v>38</v>
      </c>
      <c r="Q111" s="123">
        <v>971</v>
      </c>
      <c r="R111" s="123">
        <v>40</v>
      </c>
      <c r="S111" s="124">
        <v>424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8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2508-2624-46BC-90F1-CB5EECA4AD2A}">
  <sheetPr>
    <tabColor theme="1"/>
    <pageSetUpPr fitToPage="1"/>
  </sheetPr>
  <dimension ref="B1:Y117"/>
  <sheetViews>
    <sheetView showGridLines="0" zoomScale="115" zoomScaleNormal="115" zoomScaleSheetLayoutView="115" workbookViewId="0">
      <pane xSplit="5" ySplit="4" topLeftCell="F32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100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11697</v>
      </c>
      <c r="H6" s="78">
        <v>1527</v>
      </c>
      <c r="I6" s="79">
        <v>0</v>
      </c>
      <c r="J6" s="80"/>
      <c r="K6" s="80"/>
      <c r="L6" s="80">
        <v>5767</v>
      </c>
      <c r="M6" s="80">
        <v>68</v>
      </c>
      <c r="N6" s="80">
        <v>1277</v>
      </c>
      <c r="O6" s="80">
        <v>1502</v>
      </c>
      <c r="P6" s="80">
        <v>754</v>
      </c>
      <c r="Q6" s="80">
        <v>802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-5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-5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3194</v>
      </c>
      <c r="H8" s="83">
        <v>3194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806</v>
      </c>
      <c r="H9" s="83">
        <v>806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143</v>
      </c>
      <c r="H10" s="83">
        <v>0</v>
      </c>
      <c r="I10" s="84">
        <v>0</v>
      </c>
      <c r="J10" s="85">
        <v>3</v>
      </c>
      <c r="K10" s="85">
        <v>0</v>
      </c>
      <c r="L10" s="85">
        <v>0</v>
      </c>
      <c r="M10" s="85">
        <v>11</v>
      </c>
      <c r="N10" s="85">
        <v>0</v>
      </c>
      <c r="O10" s="85">
        <v>59</v>
      </c>
      <c r="P10" s="85">
        <v>0</v>
      </c>
      <c r="Q10" s="85">
        <v>70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10580</v>
      </c>
      <c r="H11" s="83">
        <v>3028</v>
      </c>
      <c r="I11" s="84">
        <v>6957</v>
      </c>
      <c r="J11" s="85">
        <v>0</v>
      </c>
      <c r="K11" s="85">
        <v>0</v>
      </c>
      <c r="L11" s="85">
        <v>0</v>
      </c>
      <c r="M11" s="85">
        <v>7</v>
      </c>
      <c r="N11" s="85">
        <v>15</v>
      </c>
      <c r="O11" s="85">
        <v>555</v>
      </c>
      <c r="P11" s="85">
        <v>0</v>
      </c>
      <c r="Q11" s="85">
        <v>18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2708</v>
      </c>
      <c r="H13" s="83">
        <v>2627</v>
      </c>
      <c r="I13" s="84">
        <v>0</v>
      </c>
      <c r="J13" s="85">
        <v>0</v>
      </c>
      <c r="K13" s="85">
        <v>0</v>
      </c>
      <c r="L13" s="85">
        <v>0</v>
      </c>
      <c r="M13" s="85">
        <v>16</v>
      </c>
      <c r="N13" s="85">
        <v>0</v>
      </c>
      <c r="O13" s="85">
        <v>65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112</v>
      </c>
      <c r="H14" s="83">
        <v>109</v>
      </c>
      <c r="I14" s="84">
        <v>0</v>
      </c>
      <c r="J14" s="85">
        <v>0</v>
      </c>
      <c r="K14" s="85">
        <v>0</v>
      </c>
      <c r="L14" s="85">
        <v>0</v>
      </c>
      <c r="M14" s="85">
        <v>3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6449</v>
      </c>
      <c r="H15" s="83">
        <v>0</v>
      </c>
      <c r="I15" s="84">
        <v>0</v>
      </c>
      <c r="J15" s="85"/>
      <c r="K15" s="85"/>
      <c r="L15" s="85">
        <v>5031</v>
      </c>
      <c r="M15" s="85">
        <v>312</v>
      </c>
      <c r="N15" s="85">
        <v>220</v>
      </c>
      <c r="O15" s="85">
        <v>63</v>
      </c>
      <c r="P15" s="85">
        <v>180</v>
      </c>
      <c r="Q15" s="85">
        <v>643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13263</v>
      </c>
      <c r="H16" s="83">
        <v>4257</v>
      </c>
      <c r="I16" s="84">
        <v>5254</v>
      </c>
      <c r="J16" s="85">
        <v>1688</v>
      </c>
      <c r="K16" s="85">
        <v>0</v>
      </c>
      <c r="L16" s="85">
        <v>0</v>
      </c>
      <c r="M16" s="85">
        <v>171</v>
      </c>
      <c r="N16" s="85">
        <v>711</v>
      </c>
      <c r="O16" s="85">
        <v>93</v>
      </c>
      <c r="P16" s="85">
        <v>0</v>
      </c>
      <c r="Q16" s="85">
        <v>1089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5438</v>
      </c>
      <c r="H17" s="83">
        <v>0</v>
      </c>
      <c r="I17" s="84">
        <v>5043</v>
      </c>
      <c r="J17" s="85">
        <v>11</v>
      </c>
      <c r="K17" s="85">
        <v>0</v>
      </c>
      <c r="L17" s="85">
        <v>0</v>
      </c>
      <c r="M17" s="85">
        <v>18</v>
      </c>
      <c r="N17" s="85">
        <v>361</v>
      </c>
      <c r="O17" s="85">
        <v>0</v>
      </c>
      <c r="P17" s="85">
        <v>0</v>
      </c>
      <c r="Q17" s="85">
        <v>5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8</v>
      </c>
      <c r="H18" s="83">
        <v>0</v>
      </c>
      <c r="I18" s="84">
        <v>0</v>
      </c>
      <c r="J18" s="85">
        <v>0</v>
      </c>
      <c r="K18" s="85">
        <v>0</v>
      </c>
      <c r="L18" s="85">
        <v>8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7526</v>
      </c>
      <c r="H19" s="83">
        <v>1283</v>
      </c>
      <c r="I19" s="84">
        <v>1703</v>
      </c>
      <c r="J19" s="85">
        <v>625</v>
      </c>
      <c r="K19" s="85">
        <v>88</v>
      </c>
      <c r="L19" s="85">
        <v>3183</v>
      </c>
      <c r="M19" s="85">
        <v>4</v>
      </c>
      <c r="N19" s="85">
        <v>192</v>
      </c>
      <c r="O19" s="85">
        <v>300</v>
      </c>
      <c r="P19" s="85">
        <v>46</v>
      </c>
      <c r="Q19" s="85">
        <v>102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1836</v>
      </c>
      <c r="H20" s="83">
        <v>27</v>
      </c>
      <c r="I20" s="84">
        <v>651</v>
      </c>
      <c r="J20" s="85">
        <v>363</v>
      </c>
      <c r="K20" s="85">
        <v>0</v>
      </c>
      <c r="L20" s="85">
        <v>778</v>
      </c>
      <c r="M20" s="85">
        <v>2</v>
      </c>
      <c r="N20" s="85">
        <v>2</v>
      </c>
      <c r="O20" s="85">
        <v>1</v>
      </c>
      <c r="P20" s="85">
        <v>1</v>
      </c>
      <c r="Q20" s="85">
        <v>11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0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8200</v>
      </c>
      <c r="H23" s="83">
        <v>1866</v>
      </c>
      <c r="I23" s="84">
        <v>0</v>
      </c>
      <c r="J23" s="85"/>
      <c r="K23" s="85"/>
      <c r="L23" s="85">
        <v>5310</v>
      </c>
      <c r="M23" s="85">
        <v>620</v>
      </c>
      <c r="N23" s="85">
        <v>56</v>
      </c>
      <c r="O23" s="85">
        <v>0</v>
      </c>
      <c r="P23" s="85">
        <v>8</v>
      </c>
      <c r="Q23" s="85">
        <v>340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1375</v>
      </c>
      <c r="H24" s="83">
        <v>1373</v>
      </c>
      <c r="I24" s="84">
        <v>0</v>
      </c>
      <c r="J24" s="85">
        <v>0</v>
      </c>
      <c r="K24" s="85">
        <v>0</v>
      </c>
      <c r="L24" s="85">
        <v>2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0</v>
      </c>
      <c r="H25" s="83">
        <v>0</v>
      </c>
      <c r="I25" s="84">
        <v>0</v>
      </c>
      <c r="J25" s="85"/>
      <c r="K25" s="85"/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2869</v>
      </c>
      <c r="H26" s="83">
        <v>957</v>
      </c>
      <c r="I26" s="84">
        <v>92</v>
      </c>
      <c r="J26" s="85">
        <v>0</v>
      </c>
      <c r="K26" s="85">
        <v>2</v>
      </c>
      <c r="L26" s="85">
        <v>1389</v>
      </c>
      <c r="M26" s="85">
        <v>303</v>
      </c>
      <c r="N26" s="85">
        <v>4</v>
      </c>
      <c r="O26" s="85">
        <v>16</v>
      </c>
      <c r="P26" s="85">
        <v>9</v>
      </c>
      <c r="Q26" s="85">
        <v>48</v>
      </c>
      <c r="R26" s="85">
        <v>48</v>
      </c>
      <c r="S26" s="86">
        <v>1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1494</v>
      </c>
      <c r="H27" s="83">
        <v>178</v>
      </c>
      <c r="I27" s="84">
        <v>18</v>
      </c>
      <c r="J27" s="85">
        <v>400</v>
      </c>
      <c r="K27" s="85">
        <v>0</v>
      </c>
      <c r="L27" s="85">
        <v>819</v>
      </c>
      <c r="M27" s="85">
        <v>20</v>
      </c>
      <c r="N27" s="85">
        <v>3</v>
      </c>
      <c r="O27" s="85">
        <v>7</v>
      </c>
      <c r="P27" s="85">
        <v>4</v>
      </c>
      <c r="Q27" s="85">
        <v>44</v>
      </c>
      <c r="R27" s="85">
        <v>1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16908</v>
      </c>
      <c r="H28" s="83">
        <v>5295</v>
      </c>
      <c r="I28" s="84">
        <v>5629</v>
      </c>
      <c r="J28" s="85">
        <v>2651</v>
      </c>
      <c r="K28" s="85">
        <v>509</v>
      </c>
      <c r="L28" s="85">
        <v>0</v>
      </c>
      <c r="M28" s="85">
        <v>483</v>
      </c>
      <c r="N28" s="85">
        <v>551</v>
      </c>
      <c r="O28" s="85">
        <v>4</v>
      </c>
      <c r="P28" s="85">
        <v>0</v>
      </c>
      <c r="Q28" s="85">
        <v>1786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14222</v>
      </c>
      <c r="H29" s="83">
        <v>7734</v>
      </c>
      <c r="I29" s="84">
        <v>1780</v>
      </c>
      <c r="J29" s="85">
        <v>415</v>
      </c>
      <c r="K29" s="85">
        <v>0</v>
      </c>
      <c r="L29" s="85">
        <v>1106</v>
      </c>
      <c r="M29" s="85">
        <v>204</v>
      </c>
      <c r="N29" s="85">
        <v>199</v>
      </c>
      <c r="O29" s="85">
        <v>1552</v>
      </c>
      <c r="P29" s="85">
        <v>65</v>
      </c>
      <c r="Q29" s="85">
        <v>1167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0</v>
      </c>
      <c r="H30" s="83">
        <v>0</v>
      </c>
      <c r="I30" s="84">
        <v>0</v>
      </c>
      <c r="J30" s="85"/>
      <c r="K30" s="85"/>
      <c r="L30" s="85">
        <v>0</v>
      </c>
      <c r="M30" s="85">
        <v>0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15930</v>
      </c>
      <c r="H31" s="83">
        <v>6651</v>
      </c>
      <c r="I31" s="84">
        <v>6975</v>
      </c>
      <c r="J31" s="85">
        <v>577</v>
      </c>
      <c r="K31" s="85">
        <v>0</v>
      </c>
      <c r="L31" s="85">
        <v>0</v>
      </c>
      <c r="M31" s="85">
        <v>31</v>
      </c>
      <c r="N31" s="85">
        <v>153</v>
      </c>
      <c r="O31" s="85">
        <v>235</v>
      </c>
      <c r="P31" s="85">
        <v>38</v>
      </c>
      <c r="Q31" s="85">
        <v>1270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1351</v>
      </c>
      <c r="H32" s="83">
        <v>1348</v>
      </c>
      <c r="I32" s="84">
        <v>0</v>
      </c>
      <c r="J32" s="85"/>
      <c r="K32" s="85"/>
      <c r="L32" s="85">
        <v>0</v>
      </c>
      <c r="M32" s="85">
        <v>0</v>
      </c>
      <c r="N32" s="85">
        <v>3</v>
      </c>
      <c r="O32" s="85">
        <v>0</v>
      </c>
      <c r="P32" s="85">
        <v>0</v>
      </c>
      <c r="Q32" s="85">
        <v>0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5658</v>
      </c>
      <c r="H33" s="83">
        <v>2319</v>
      </c>
      <c r="I33" s="84">
        <v>0</v>
      </c>
      <c r="J33" s="85"/>
      <c r="K33" s="85"/>
      <c r="L33" s="85">
        <v>0</v>
      </c>
      <c r="M33" s="85">
        <v>52</v>
      </c>
      <c r="N33" s="85">
        <v>1286</v>
      </c>
      <c r="O33" s="85">
        <v>1437</v>
      </c>
      <c r="P33" s="85">
        <v>177</v>
      </c>
      <c r="Q33" s="85">
        <v>387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310</v>
      </c>
      <c r="H34" s="83">
        <v>310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114</v>
      </c>
      <c r="H35" s="83">
        <v>114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0</v>
      </c>
      <c r="H36" s="90">
        <v>0</v>
      </c>
      <c r="I36" s="91">
        <v>0</v>
      </c>
      <c r="J36" s="92"/>
      <c r="K36" s="92"/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132186</v>
      </c>
      <c r="H37" s="95">
        <v>45003</v>
      </c>
      <c r="I37" s="96">
        <v>34102</v>
      </c>
      <c r="J37" s="97">
        <v>6733</v>
      </c>
      <c r="K37" s="97">
        <v>599</v>
      </c>
      <c r="L37" s="97">
        <v>23393</v>
      </c>
      <c r="M37" s="97">
        <v>2325</v>
      </c>
      <c r="N37" s="97">
        <v>5033</v>
      </c>
      <c r="O37" s="97">
        <v>5889</v>
      </c>
      <c r="P37" s="97">
        <v>1282</v>
      </c>
      <c r="Q37" s="97">
        <v>7777</v>
      </c>
      <c r="R37" s="97">
        <v>49</v>
      </c>
      <c r="S37" s="98">
        <v>1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11446</v>
      </c>
      <c r="H39" s="83">
        <v>0</v>
      </c>
      <c r="I39" s="84">
        <v>11434</v>
      </c>
      <c r="J39" s="85">
        <v>0</v>
      </c>
      <c r="K39" s="85">
        <v>0</v>
      </c>
      <c r="L39" s="85">
        <v>0</v>
      </c>
      <c r="M39" s="85">
        <v>0</v>
      </c>
      <c r="N39" s="85">
        <v>12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8728</v>
      </c>
      <c r="H40" s="83">
        <v>0</v>
      </c>
      <c r="I40" s="84">
        <v>7313</v>
      </c>
      <c r="J40" s="85">
        <v>1175</v>
      </c>
      <c r="K40" s="85">
        <v>185</v>
      </c>
      <c r="L40" s="85">
        <v>0</v>
      </c>
      <c r="M40" s="85">
        <v>0</v>
      </c>
      <c r="N40" s="85">
        <v>53</v>
      </c>
      <c r="O40" s="85">
        <v>0</v>
      </c>
      <c r="P40" s="85">
        <v>0</v>
      </c>
      <c r="Q40" s="85">
        <v>2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12046</v>
      </c>
      <c r="H41" s="83">
        <v>0</v>
      </c>
      <c r="I41" s="84">
        <v>11560</v>
      </c>
      <c r="J41" s="85">
        <v>369</v>
      </c>
      <c r="K41" s="85">
        <v>40</v>
      </c>
      <c r="L41" s="85">
        <v>0</v>
      </c>
      <c r="M41" s="85">
        <v>0</v>
      </c>
      <c r="N41" s="85">
        <v>20</v>
      </c>
      <c r="O41" s="85">
        <v>57</v>
      </c>
      <c r="P41" s="85">
        <v>0</v>
      </c>
      <c r="Q41" s="85">
        <v>0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882</v>
      </c>
      <c r="H42" s="83">
        <v>0</v>
      </c>
      <c r="I42" s="84">
        <v>709</v>
      </c>
      <c r="J42" s="85">
        <v>173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21</v>
      </c>
      <c r="H43" s="90">
        <v>0</v>
      </c>
      <c r="I43" s="91">
        <v>19</v>
      </c>
      <c r="J43" s="92">
        <v>0</v>
      </c>
      <c r="K43" s="92">
        <v>0</v>
      </c>
      <c r="L43" s="92">
        <v>0</v>
      </c>
      <c r="M43" s="92">
        <v>0</v>
      </c>
      <c r="N43" s="92">
        <v>2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33123</v>
      </c>
      <c r="H44" s="95">
        <v>0</v>
      </c>
      <c r="I44" s="96">
        <v>31035</v>
      </c>
      <c r="J44" s="97">
        <v>1717</v>
      </c>
      <c r="K44" s="97">
        <v>225</v>
      </c>
      <c r="L44" s="97">
        <v>0</v>
      </c>
      <c r="M44" s="97">
        <v>0</v>
      </c>
      <c r="N44" s="97">
        <v>87</v>
      </c>
      <c r="O44" s="97">
        <v>57</v>
      </c>
      <c r="P44" s="97">
        <v>0</v>
      </c>
      <c r="Q44" s="97">
        <v>2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0</v>
      </c>
      <c r="H46" s="83">
        <v>0</v>
      </c>
      <c r="I46" s="84">
        <v>0</v>
      </c>
      <c r="J46" s="85"/>
      <c r="K46" s="85"/>
      <c r="L46" s="85">
        <v>0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6112</v>
      </c>
      <c r="H47" s="83">
        <v>0</v>
      </c>
      <c r="I47" s="84">
        <v>0</v>
      </c>
      <c r="J47" s="85">
        <v>0</v>
      </c>
      <c r="K47" s="85">
        <v>0</v>
      </c>
      <c r="L47" s="85">
        <v>5794</v>
      </c>
      <c r="M47" s="85">
        <v>284</v>
      </c>
      <c r="N47" s="85">
        <v>1</v>
      </c>
      <c r="O47" s="85">
        <v>0</v>
      </c>
      <c r="P47" s="85">
        <v>7</v>
      </c>
      <c r="Q47" s="85">
        <v>26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2821</v>
      </c>
      <c r="H48" s="83">
        <v>0</v>
      </c>
      <c r="I48" s="84">
        <v>0</v>
      </c>
      <c r="J48" s="85">
        <v>0</v>
      </c>
      <c r="K48" s="85">
        <v>0</v>
      </c>
      <c r="L48" s="85">
        <v>2236</v>
      </c>
      <c r="M48" s="85">
        <v>319</v>
      </c>
      <c r="N48" s="85">
        <v>9</v>
      </c>
      <c r="O48" s="85">
        <v>0</v>
      </c>
      <c r="P48" s="85">
        <v>257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15186</v>
      </c>
      <c r="H49" s="90">
        <v>0</v>
      </c>
      <c r="I49" s="91">
        <v>0</v>
      </c>
      <c r="J49" s="92">
        <v>0</v>
      </c>
      <c r="K49" s="92">
        <v>0</v>
      </c>
      <c r="L49" s="92">
        <v>11553</v>
      </c>
      <c r="M49" s="92">
        <v>813</v>
      </c>
      <c r="N49" s="92">
        <v>356</v>
      </c>
      <c r="O49" s="92">
        <v>1494</v>
      </c>
      <c r="P49" s="92">
        <v>970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24119</v>
      </c>
      <c r="H50" s="95">
        <v>0</v>
      </c>
      <c r="I50" s="96">
        <v>0</v>
      </c>
      <c r="J50" s="97">
        <v>0</v>
      </c>
      <c r="K50" s="97">
        <v>0</v>
      </c>
      <c r="L50" s="97">
        <v>19583</v>
      </c>
      <c r="M50" s="97">
        <v>1416</v>
      </c>
      <c r="N50" s="97">
        <v>366</v>
      </c>
      <c r="O50" s="97">
        <v>1494</v>
      </c>
      <c r="P50" s="97">
        <v>1234</v>
      </c>
      <c r="Q50" s="97">
        <v>26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6545</v>
      </c>
      <c r="H52" s="83">
        <v>0</v>
      </c>
      <c r="I52" s="84">
        <v>0</v>
      </c>
      <c r="J52" s="85">
        <v>1</v>
      </c>
      <c r="K52" s="85">
        <v>4471</v>
      </c>
      <c r="L52" s="85">
        <v>0</v>
      </c>
      <c r="M52" s="85">
        <v>0</v>
      </c>
      <c r="N52" s="85">
        <v>1685</v>
      </c>
      <c r="O52" s="85">
        <v>311</v>
      </c>
      <c r="P52" s="85">
        <v>77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17838</v>
      </c>
      <c r="H53" s="90">
        <v>0</v>
      </c>
      <c r="I53" s="91">
        <v>13870</v>
      </c>
      <c r="J53" s="92">
        <v>1394</v>
      </c>
      <c r="K53" s="92">
        <v>1233</v>
      </c>
      <c r="L53" s="92">
        <v>1</v>
      </c>
      <c r="M53" s="92">
        <v>0</v>
      </c>
      <c r="N53" s="92">
        <v>130</v>
      </c>
      <c r="O53" s="92">
        <v>629</v>
      </c>
      <c r="P53" s="92">
        <v>0</v>
      </c>
      <c r="Q53" s="92">
        <v>581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24383</v>
      </c>
      <c r="H54" s="95">
        <v>0</v>
      </c>
      <c r="I54" s="96">
        <v>13870</v>
      </c>
      <c r="J54" s="97">
        <v>1395</v>
      </c>
      <c r="K54" s="97">
        <v>5704</v>
      </c>
      <c r="L54" s="97">
        <v>1</v>
      </c>
      <c r="M54" s="97">
        <v>0</v>
      </c>
      <c r="N54" s="97">
        <v>1815</v>
      </c>
      <c r="O54" s="97">
        <v>940</v>
      </c>
      <c r="P54" s="97">
        <v>77</v>
      </c>
      <c r="Q54" s="97">
        <v>581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/>
      <c r="I55" s="101"/>
      <c r="J55" s="102"/>
      <c r="K55" s="102"/>
      <c r="L55" s="102"/>
      <c r="M55" s="102"/>
      <c r="N55" s="102"/>
      <c r="O55" s="102"/>
      <c r="P55" s="102"/>
      <c r="Q55" s="102"/>
      <c r="R55" s="102"/>
      <c r="S55" s="103"/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6179</v>
      </c>
      <c r="H57" s="83">
        <v>0</v>
      </c>
      <c r="I57" s="84">
        <v>0</v>
      </c>
      <c r="J57" s="85"/>
      <c r="K57" s="85"/>
      <c r="L57" s="85">
        <v>0</v>
      </c>
      <c r="M57" s="85">
        <v>0</v>
      </c>
      <c r="N57" s="85">
        <v>2161</v>
      </c>
      <c r="O57" s="85">
        <v>3505</v>
      </c>
      <c r="P57" s="85">
        <v>359</v>
      </c>
      <c r="Q57" s="85">
        <v>148</v>
      </c>
      <c r="R57" s="85">
        <v>0</v>
      </c>
      <c r="S57" s="87">
        <v>6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651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651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404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404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548</v>
      </c>
      <c r="H60" s="83">
        <v>0</v>
      </c>
      <c r="I60" s="84">
        <v>0</v>
      </c>
      <c r="J60" s="85"/>
      <c r="K60" s="85"/>
      <c r="L60" s="85">
        <v>0</v>
      </c>
      <c r="M60" s="85">
        <v>475</v>
      </c>
      <c r="N60" s="85">
        <v>0</v>
      </c>
      <c r="O60" s="85"/>
      <c r="P60" s="85"/>
      <c r="Q60" s="85">
        <v>0</v>
      </c>
      <c r="R60" s="85">
        <v>0</v>
      </c>
      <c r="S60" s="87">
        <v>73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1993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1993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3436</v>
      </c>
      <c r="H62" s="83">
        <v>0</v>
      </c>
      <c r="I62" s="84">
        <v>0</v>
      </c>
      <c r="J62" s="85">
        <v>0</v>
      </c>
      <c r="K62" s="85">
        <v>1106</v>
      </c>
      <c r="L62" s="85">
        <v>0</v>
      </c>
      <c r="M62" s="85">
        <v>0</v>
      </c>
      <c r="N62" s="85">
        <v>1213</v>
      </c>
      <c r="O62" s="85">
        <v>449</v>
      </c>
      <c r="P62" s="85">
        <v>93</v>
      </c>
      <c r="Q62" s="85">
        <v>499</v>
      </c>
      <c r="R62" s="85">
        <v>0</v>
      </c>
      <c r="S62" s="87">
        <v>76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4630</v>
      </c>
      <c r="H63" s="83">
        <v>0</v>
      </c>
      <c r="I63" s="84">
        <v>0</v>
      </c>
      <c r="J63" s="85">
        <v>0</v>
      </c>
      <c r="K63" s="85">
        <v>1219</v>
      </c>
      <c r="L63" s="85">
        <v>0</v>
      </c>
      <c r="M63" s="85">
        <v>0</v>
      </c>
      <c r="N63" s="85">
        <v>765</v>
      </c>
      <c r="O63" s="85">
        <v>790</v>
      </c>
      <c r="P63" s="85">
        <v>142</v>
      </c>
      <c r="Q63" s="85">
        <v>83</v>
      </c>
      <c r="R63" s="85">
        <v>0</v>
      </c>
      <c r="S63" s="87">
        <v>1631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176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176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2202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927</v>
      </c>
      <c r="P65" s="85">
        <v>0</v>
      </c>
      <c r="Q65" s="85">
        <v>0</v>
      </c>
      <c r="R65" s="85">
        <v>0</v>
      </c>
      <c r="S65" s="87">
        <v>1275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139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139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1234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110</v>
      </c>
      <c r="O67" s="92">
        <v>4</v>
      </c>
      <c r="P67" s="92">
        <v>17</v>
      </c>
      <c r="Q67" s="92">
        <v>775</v>
      </c>
      <c r="R67" s="92">
        <v>0</v>
      </c>
      <c r="S67" s="104">
        <v>328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21592</v>
      </c>
      <c r="H68" s="106">
        <v>0</v>
      </c>
      <c r="I68" s="107">
        <v>0</v>
      </c>
      <c r="J68" s="108">
        <v>0</v>
      </c>
      <c r="K68" s="108">
        <v>2325</v>
      </c>
      <c r="L68" s="108">
        <v>0</v>
      </c>
      <c r="M68" s="108">
        <v>475</v>
      </c>
      <c r="N68" s="108">
        <v>4249</v>
      </c>
      <c r="O68" s="108">
        <v>5675</v>
      </c>
      <c r="P68" s="108">
        <v>611</v>
      </c>
      <c r="Q68" s="108">
        <v>1505</v>
      </c>
      <c r="R68" s="108">
        <v>0</v>
      </c>
      <c r="S68" s="109">
        <v>6752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1942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1942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8308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68</v>
      </c>
      <c r="O70" s="85">
        <v>0</v>
      </c>
      <c r="P70" s="85">
        <v>682</v>
      </c>
      <c r="Q70" s="85">
        <v>84</v>
      </c>
      <c r="R70" s="85">
        <v>7474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5976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124</v>
      </c>
      <c r="O71" s="85">
        <v>0</v>
      </c>
      <c r="P71" s="85">
        <v>276</v>
      </c>
      <c r="Q71" s="85">
        <v>92</v>
      </c>
      <c r="R71" s="85">
        <v>5484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6199</v>
      </c>
      <c r="H72" s="83">
        <v>0</v>
      </c>
      <c r="I72" s="84">
        <v>0</v>
      </c>
      <c r="J72" s="85"/>
      <c r="K72" s="85"/>
      <c r="L72" s="85">
        <v>0</v>
      </c>
      <c r="M72" s="85">
        <v>49</v>
      </c>
      <c r="N72" s="85">
        <v>141</v>
      </c>
      <c r="O72" s="85">
        <v>563</v>
      </c>
      <c r="P72" s="85">
        <v>64</v>
      </c>
      <c r="Q72" s="85">
        <v>18</v>
      </c>
      <c r="R72" s="85">
        <v>5364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0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/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101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101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22526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49</v>
      </c>
      <c r="N75" s="108">
        <v>333</v>
      </c>
      <c r="O75" s="108">
        <v>563</v>
      </c>
      <c r="P75" s="108">
        <v>1022</v>
      </c>
      <c r="Q75" s="108">
        <v>194</v>
      </c>
      <c r="R75" s="108">
        <v>20365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0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0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0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0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163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159</v>
      </c>
      <c r="P79" s="80">
        <v>0</v>
      </c>
      <c r="Q79" s="80">
        <v>4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19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19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432</v>
      </c>
      <c r="H81" s="83">
        <v>0</v>
      </c>
      <c r="I81" s="84">
        <v>0</v>
      </c>
      <c r="J81" s="85"/>
      <c r="K81" s="85"/>
      <c r="L81" s="85">
        <v>0</v>
      </c>
      <c r="M81" s="85">
        <v>260</v>
      </c>
      <c r="N81" s="85">
        <v>0</v>
      </c>
      <c r="O81" s="85"/>
      <c r="P81" s="85"/>
      <c r="Q81" s="85">
        <v>172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22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22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2158</v>
      </c>
      <c r="H85" s="83">
        <v>0</v>
      </c>
      <c r="I85" s="84">
        <v>0</v>
      </c>
      <c r="J85" s="85"/>
      <c r="K85" s="85"/>
      <c r="L85" s="85">
        <v>0</v>
      </c>
      <c r="M85" s="85">
        <v>1350</v>
      </c>
      <c r="N85" s="85">
        <v>382</v>
      </c>
      <c r="O85" s="85"/>
      <c r="P85" s="85"/>
      <c r="Q85" s="85">
        <v>426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358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358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415</v>
      </c>
      <c r="H87" s="83">
        <v>0</v>
      </c>
      <c r="I87" s="84">
        <v>0</v>
      </c>
      <c r="J87" s="85"/>
      <c r="K87" s="85"/>
      <c r="L87" s="85">
        <v>0</v>
      </c>
      <c r="M87" s="85">
        <v>4</v>
      </c>
      <c r="N87" s="85">
        <v>0</v>
      </c>
      <c r="O87" s="85"/>
      <c r="P87" s="85"/>
      <c r="Q87" s="85">
        <v>411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/>
      <c r="K88" s="85"/>
      <c r="L88" s="85">
        <v>0</v>
      </c>
      <c r="M88" s="85">
        <v>0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1539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900</v>
      </c>
      <c r="N92" s="85">
        <v>0</v>
      </c>
      <c r="O92" s="85">
        <v>378</v>
      </c>
      <c r="P92" s="85">
        <v>0</v>
      </c>
      <c r="Q92" s="85">
        <v>261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185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64</v>
      </c>
      <c r="P93" s="85">
        <v>0</v>
      </c>
      <c r="Q93" s="85">
        <v>121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317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317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547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547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1568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240</v>
      </c>
      <c r="O97" s="92"/>
      <c r="P97" s="92"/>
      <c r="Q97" s="92">
        <v>1328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7723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2514</v>
      </c>
      <c r="N98" s="108">
        <v>622</v>
      </c>
      <c r="O98" s="108">
        <v>959</v>
      </c>
      <c r="P98" s="108">
        <v>0</v>
      </c>
      <c r="Q98" s="108">
        <v>3628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7</v>
      </c>
      <c r="H101" s="83">
        <v>0</v>
      </c>
      <c r="I101" s="84">
        <v>0</v>
      </c>
      <c r="J101" s="85"/>
      <c r="K101" s="85"/>
      <c r="L101" s="85">
        <v>0</v>
      </c>
      <c r="M101" s="85">
        <v>1</v>
      </c>
      <c r="N101" s="85">
        <v>0</v>
      </c>
      <c r="O101" s="85">
        <v>0</v>
      </c>
      <c r="P101" s="85">
        <v>2</v>
      </c>
      <c r="Q101" s="85">
        <v>4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174</v>
      </c>
      <c r="H102" s="83">
        <v>122</v>
      </c>
      <c r="I102" s="84">
        <v>0</v>
      </c>
      <c r="J102" s="85">
        <v>0</v>
      </c>
      <c r="K102" s="85">
        <v>0</v>
      </c>
      <c r="L102" s="85">
        <v>0</v>
      </c>
      <c r="M102" s="85">
        <v>1</v>
      </c>
      <c r="N102" s="85">
        <v>0</v>
      </c>
      <c r="O102" s="85">
        <v>0</v>
      </c>
      <c r="P102" s="85">
        <v>51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39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39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1</v>
      </c>
      <c r="H106" s="83">
        <v>0</v>
      </c>
      <c r="I106" s="84">
        <v>0</v>
      </c>
      <c r="J106" s="85"/>
      <c r="K106" s="85"/>
      <c r="L106" s="85">
        <v>0</v>
      </c>
      <c r="M106" s="85">
        <v>1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34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34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255</v>
      </c>
      <c r="H108" s="95">
        <v>122</v>
      </c>
      <c r="I108" s="96">
        <v>0</v>
      </c>
      <c r="J108" s="97">
        <v>0</v>
      </c>
      <c r="K108" s="97">
        <v>0</v>
      </c>
      <c r="L108" s="97">
        <v>0</v>
      </c>
      <c r="M108" s="97">
        <v>3</v>
      </c>
      <c r="N108" s="97">
        <v>0</v>
      </c>
      <c r="O108" s="97">
        <v>39</v>
      </c>
      <c r="P108" s="97">
        <v>53</v>
      </c>
      <c r="Q108" s="97">
        <v>38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265907</v>
      </c>
      <c r="H110" s="116">
        <v>45125</v>
      </c>
      <c r="I110" s="117">
        <v>79007</v>
      </c>
      <c r="J110" s="118">
        <v>9845</v>
      </c>
      <c r="K110" s="118">
        <v>8853</v>
      </c>
      <c r="L110" s="118">
        <v>42977</v>
      </c>
      <c r="M110" s="118">
        <v>6782</v>
      </c>
      <c r="N110" s="118">
        <v>12505</v>
      </c>
      <c r="O110" s="118">
        <v>15616</v>
      </c>
      <c r="P110" s="118">
        <v>4279</v>
      </c>
      <c r="Q110" s="118">
        <v>13751</v>
      </c>
      <c r="R110" s="118">
        <v>20414</v>
      </c>
      <c r="S110" s="119">
        <v>6753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19035</v>
      </c>
      <c r="H111" s="121">
        <v>5517</v>
      </c>
      <c r="I111" s="122">
        <v>1489</v>
      </c>
      <c r="J111" s="123">
        <v>936</v>
      </c>
      <c r="K111" s="123">
        <v>2</v>
      </c>
      <c r="L111" s="123">
        <v>8306</v>
      </c>
      <c r="M111" s="123">
        <v>945</v>
      </c>
      <c r="N111" s="123">
        <v>177</v>
      </c>
      <c r="O111" s="123">
        <v>28</v>
      </c>
      <c r="P111" s="123">
        <v>39</v>
      </c>
      <c r="Q111" s="123">
        <v>1218</v>
      </c>
      <c r="R111" s="123">
        <v>49</v>
      </c>
      <c r="S111" s="124">
        <v>329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7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044C-098C-4C16-AFF8-2BA075C54D62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5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101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12144</v>
      </c>
      <c r="H6" s="78">
        <v>1204</v>
      </c>
      <c r="I6" s="79">
        <v>0</v>
      </c>
      <c r="J6" s="80"/>
      <c r="K6" s="80"/>
      <c r="L6" s="80">
        <v>6548</v>
      </c>
      <c r="M6" s="80">
        <v>56</v>
      </c>
      <c r="N6" s="80">
        <v>1477</v>
      </c>
      <c r="O6" s="80">
        <v>1486</v>
      </c>
      <c r="P6" s="80">
        <v>460</v>
      </c>
      <c r="Q6" s="80">
        <v>913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2955</v>
      </c>
      <c r="H8" s="83">
        <v>2955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1305</v>
      </c>
      <c r="H9" s="83">
        <v>1305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45</v>
      </c>
      <c r="H10" s="83">
        <v>0</v>
      </c>
      <c r="I10" s="84">
        <v>0</v>
      </c>
      <c r="J10" s="85">
        <v>1</v>
      </c>
      <c r="K10" s="85">
        <v>0</v>
      </c>
      <c r="L10" s="85">
        <v>0</v>
      </c>
      <c r="M10" s="85">
        <v>3</v>
      </c>
      <c r="N10" s="85">
        <v>0</v>
      </c>
      <c r="O10" s="85">
        <v>6</v>
      </c>
      <c r="P10" s="85">
        <v>0</v>
      </c>
      <c r="Q10" s="85">
        <v>35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9208</v>
      </c>
      <c r="H11" s="83">
        <v>2873</v>
      </c>
      <c r="I11" s="84">
        <v>5613</v>
      </c>
      <c r="J11" s="85">
        <v>0</v>
      </c>
      <c r="K11" s="85">
        <v>0</v>
      </c>
      <c r="L11" s="85">
        <v>0</v>
      </c>
      <c r="M11" s="85">
        <v>11</v>
      </c>
      <c r="N11" s="85">
        <v>11</v>
      </c>
      <c r="O11" s="85">
        <v>696</v>
      </c>
      <c r="P11" s="85">
        <v>0</v>
      </c>
      <c r="Q11" s="85">
        <v>4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2479</v>
      </c>
      <c r="H13" s="83">
        <v>2423</v>
      </c>
      <c r="I13" s="84">
        <v>0</v>
      </c>
      <c r="J13" s="85">
        <v>0</v>
      </c>
      <c r="K13" s="85">
        <v>0</v>
      </c>
      <c r="L13" s="85">
        <v>0</v>
      </c>
      <c r="M13" s="85">
        <v>16</v>
      </c>
      <c r="N13" s="85">
        <v>0</v>
      </c>
      <c r="O13" s="85">
        <v>40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93</v>
      </c>
      <c r="H14" s="83">
        <v>92</v>
      </c>
      <c r="I14" s="84">
        <v>0</v>
      </c>
      <c r="J14" s="85">
        <v>0</v>
      </c>
      <c r="K14" s="85">
        <v>0</v>
      </c>
      <c r="L14" s="85">
        <v>0</v>
      </c>
      <c r="M14" s="85">
        <v>1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6484</v>
      </c>
      <c r="H15" s="83">
        <v>0</v>
      </c>
      <c r="I15" s="84">
        <v>0</v>
      </c>
      <c r="J15" s="85"/>
      <c r="K15" s="85"/>
      <c r="L15" s="85">
        <v>4743</v>
      </c>
      <c r="M15" s="85">
        <v>439</v>
      </c>
      <c r="N15" s="85">
        <v>128</v>
      </c>
      <c r="O15" s="85">
        <v>228</v>
      </c>
      <c r="P15" s="85">
        <v>225</v>
      </c>
      <c r="Q15" s="85">
        <v>721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14146</v>
      </c>
      <c r="H16" s="83">
        <v>5100</v>
      </c>
      <c r="I16" s="84">
        <v>4259</v>
      </c>
      <c r="J16" s="85">
        <v>2874</v>
      </c>
      <c r="K16" s="85">
        <v>0</v>
      </c>
      <c r="L16" s="85">
        <v>0</v>
      </c>
      <c r="M16" s="85">
        <v>181</v>
      </c>
      <c r="N16" s="85">
        <v>402</v>
      </c>
      <c r="O16" s="85">
        <v>136</v>
      </c>
      <c r="P16" s="85">
        <v>0</v>
      </c>
      <c r="Q16" s="85">
        <v>1194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5379</v>
      </c>
      <c r="H17" s="83">
        <v>0</v>
      </c>
      <c r="I17" s="84">
        <v>4737</v>
      </c>
      <c r="J17" s="85">
        <v>2</v>
      </c>
      <c r="K17" s="85">
        <v>0</v>
      </c>
      <c r="L17" s="85">
        <v>0</v>
      </c>
      <c r="M17" s="85">
        <v>35</v>
      </c>
      <c r="N17" s="85">
        <v>600</v>
      </c>
      <c r="O17" s="85">
        <v>0</v>
      </c>
      <c r="P17" s="85">
        <v>0</v>
      </c>
      <c r="Q17" s="85">
        <v>5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29</v>
      </c>
      <c r="H18" s="83">
        <v>0</v>
      </c>
      <c r="I18" s="84">
        <v>0</v>
      </c>
      <c r="J18" s="85">
        <v>0</v>
      </c>
      <c r="K18" s="85">
        <v>0</v>
      </c>
      <c r="L18" s="85">
        <v>29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7382</v>
      </c>
      <c r="H19" s="83">
        <v>999</v>
      </c>
      <c r="I19" s="84">
        <v>1485</v>
      </c>
      <c r="J19" s="85">
        <v>808</v>
      </c>
      <c r="K19" s="85">
        <v>56</v>
      </c>
      <c r="L19" s="85">
        <v>3552</v>
      </c>
      <c r="M19" s="85">
        <v>4</v>
      </c>
      <c r="N19" s="85">
        <v>143</v>
      </c>
      <c r="O19" s="85">
        <v>151</v>
      </c>
      <c r="P19" s="85">
        <v>92</v>
      </c>
      <c r="Q19" s="85">
        <v>92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1695</v>
      </c>
      <c r="H20" s="83">
        <v>8</v>
      </c>
      <c r="I20" s="84">
        <v>481</v>
      </c>
      <c r="J20" s="85">
        <v>274</v>
      </c>
      <c r="K20" s="85">
        <v>0</v>
      </c>
      <c r="L20" s="85">
        <v>921</v>
      </c>
      <c r="M20" s="85">
        <v>6</v>
      </c>
      <c r="N20" s="85">
        <v>0</v>
      </c>
      <c r="O20" s="85">
        <v>0</v>
      </c>
      <c r="P20" s="85">
        <v>0</v>
      </c>
      <c r="Q20" s="85">
        <v>5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0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1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1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8444</v>
      </c>
      <c r="H23" s="83">
        <v>1884</v>
      </c>
      <c r="I23" s="84">
        <v>0</v>
      </c>
      <c r="J23" s="85"/>
      <c r="K23" s="85"/>
      <c r="L23" s="85">
        <v>5538</v>
      </c>
      <c r="M23" s="85">
        <v>626</v>
      </c>
      <c r="N23" s="85">
        <v>37</v>
      </c>
      <c r="O23" s="85">
        <v>0</v>
      </c>
      <c r="P23" s="85">
        <v>6</v>
      </c>
      <c r="Q23" s="85">
        <v>353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1073</v>
      </c>
      <c r="H24" s="83">
        <v>1073</v>
      </c>
      <c r="I24" s="84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0</v>
      </c>
      <c r="H25" s="83">
        <v>0</v>
      </c>
      <c r="I25" s="84">
        <v>0</v>
      </c>
      <c r="J25" s="85"/>
      <c r="K25" s="85"/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2697</v>
      </c>
      <c r="H26" s="83">
        <v>727</v>
      </c>
      <c r="I26" s="84">
        <v>14</v>
      </c>
      <c r="J26" s="85">
        <v>0</v>
      </c>
      <c r="K26" s="85">
        <v>11</v>
      </c>
      <c r="L26" s="85">
        <v>1623</v>
      </c>
      <c r="M26" s="85">
        <v>163</v>
      </c>
      <c r="N26" s="85">
        <v>1</v>
      </c>
      <c r="O26" s="85">
        <v>4</v>
      </c>
      <c r="P26" s="85">
        <v>39</v>
      </c>
      <c r="Q26" s="85">
        <v>55</v>
      </c>
      <c r="R26" s="85">
        <v>46</v>
      </c>
      <c r="S26" s="86">
        <v>14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1249</v>
      </c>
      <c r="H27" s="83">
        <v>113</v>
      </c>
      <c r="I27" s="84">
        <v>4</v>
      </c>
      <c r="J27" s="85">
        <v>307</v>
      </c>
      <c r="K27" s="85">
        <v>0</v>
      </c>
      <c r="L27" s="85">
        <v>740</v>
      </c>
      <c r="M27" s="85">
        <v>15</v>
      </c>
      <c r="N27" s="85">
        <v>4</v>
      </c>
      <c r="O27" s="85">
        <v>5</v>
      </c>
      <c r="P27" s="85">
        <v>7</v>
      </c>
      <c r="Q27" s="85">
        <v>54</v>
      </c>
      <c r="R27" s="85">
        <v>0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17565</v>
      </c>
      <c r="H28" s="83">
        <v>6363</v>
      </c>
      <c r="I28" s="84">
        <v>4738</v>
      </c>
      <c r="J28" s="85">
        <v>2212</v>
      </c>
      <c r="K28" s="85">
        <v>768</v>
      </c>
      <c r="L28" s="85">
        <v>0</v>
      </c>
      <c r="M28" s="85">
        <v>423</v>
      </c>
      <c r="N28" s="85">
        <v>583</v>
      </c>
      <c r="O28" s="85">
        <v>140</v>
      </c>
      <c r="P28" s="85">
        <v>0</v>
      </c>
      <c r="Q28" s="85">
        <v>2338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13607</v>
      </c>
      <c r="H29" s="83">
        <v>7923</v>
      </c>
      <c r="I29" s="84">
        <v>1364</v>
      </c>
      <c r="J29" s="85">
        <v>455</v>
      </c>
      <c r="K29" s="85">
        <v>0</v>
      </c>
      <c r="L29" s="85">
        <v>1023</v>
      </c>
      <c r="M29" s="85">
        <v>283</v>
      </c>
      <c r="N29" s="85">
        <v>171</v>
      </c>
      <c r="O29" s="85">
        <v>1116</v>
      </c>
      <c r="P29" s="85">
        <v>87</v>
      </c>
      <c r="Q29" s="85">
        <v>1185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19</v>
      </c>
      <c r="H30" s="83">
        <v>0</v>
      </c>
      <c r="I30" s="84">
        <v>0</v>
      </c>
      <c r="J30" s="85"/>
      <c r="K30" s="85"/>
      <c r="L30" s="85">
        <v>0</v>
      </c>
      <c r="M30" s="85">
        <v>19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14211</v>
      </c>
      <c r="H31" s="83">
        <v>6714</v>
      </c>
      <c r="I31" s="84">
        <v>5198</v>
      </c>
      <c r="J31" s="85">
        <v>581</v>
      </c>
      <c r="K31" s="85">
        <v>0</v>
      </c>
      <c r="L31" s="85">
        <v>0</v>
      </c>
      <c r="M31" s="85">
        <v>35</v>
      </c>
      <c r="N31" s="85">
        <v>220</v>
      </c>
      <c r="O31" s="85">
        <v>214</v>
      </c>
      <c r="P31" s="85">
        <v>23</v>
      </c>
      <c r="Q31" s="85">
        <v>1226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1510</v>
      </c>
      <c r="H32" s="83">
        <v>1302</v>
      </c>
      <c r="I32" s="84">
        <v>0</v>
      </c>
      <c r="J32" s="85"/>
      <c r="K32" s="85"/>
      <c r="L32" s="85">
        <v>0</v>
      </c>
      <c r="M32" s="85">
        <v>0</v>
      </c>
      <c r="N32" s="85">
        <v>0</v>
      </c>
      <c r="O32" s="85">
        <v>0</v>
      </c>
      <c r="P32" s="85">
        <v>1</v>
      </c>
      <c r="Q32" s="85">
        <v>207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5568</v>
      </c>
      <c r="H33" s="83">
        <v>2575</v>
      </c>
      <c r="I33" s="84">
        <v>0</v>
      </c>
      <c r="J33" s="85"/>
      <c r="K33" s="85"/>
      <c r="L33" s="85">
        <v>0</v>
      </c>
      <c r="M33" s="85">
        <v>59</v>
      </c>
      <c r="N33" s="85">
        <v>1173</v>
      </c>
      <c r="O33" s="85">
        <v>1389</v>
      </c>
      <c r="P33" s="85">
        <v>162</v>
      </c>
      <c r="Q33" s="85">
        <v>210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255</v>
      </c>
      <c r="H34" s="83">
        <v>255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115</v>
      </c>
      <c r="H35" s="83">
        <v>115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0</v>
      </c>
      <c r="H36" s="90">
        <v>0</v>
      </c>
      <c r="I36" s="91">
        <v>0</v>
      </c>
      <c r="J36" s="92"/>
      <c r="K36" s="92"/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129658</v>
      </c>
      <c r="H37" s="95">
        <v>46003</v>
      </c>
      <c r="I37" s="96">
        <v>27893</v>
      </c>
      <c r="J37" s="97">
        <v>7514</v>
      </c>
      <c r="K37" s="97">
        <v>835</v>
      </c>
      <c r="L37" s="97">
        <v>24717</v>
      </c>
      <c r="M37" s="97">
        <v>2375</v>
      </c>
      <c r="N37" s="97">
        <v>4950</v>
      </c>
      <c r="O37" s="97">
        <v>5611</v>
      </c>
      <c r="P37" s="97">
        <v>1102</v>
      </c>
      <c r="Q37" s="97">
        <v>8598</v>
      </c>
      <c r="R37" s="97">
        <v>46</v>
      </c>
      <c r="S37" s="98">
        <v>14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1</v>
      </c>
      <c r="H38" s="83">
        <v>0</v>
      </c>
      <c r="I38" s="84">
        <v>0</v>
      </c>
      <c r="J38" s="85">
        <v>1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7923</v>
      </c>
      <c r="H39" s="83">
        <v>0</v>
      </c>
      <c r="I39" s="84">
        <v>7892</v>
      </c>
      <c r="J39" s="85">
        <v>0</v>
      </c>
      <c r="K39" s="85">
        <v>0</v>
      </c>
      <c r="L39" s="85">
        <v>0</v>
      </c>
      <c r="M39" s="85">
        <v>0</v>
      </c>
      <c r="N39" s="85">
        <v>31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6565</v>
      </c>
      <c r="H40" s="83">
        <v>0</v>
      </c>
      <c r="I40" s="84">
        <v>5686</v>
      </c>
      <c r="J40" s="85">
        <v>685</v>
      </c>
      <c r="K40" s="85">
        <v>150</v>
      </c>
      <c r="L40" s="85">
        <v>0</v>
      </c>
      <c r="M40" s="85">
        <v>0</v>
      </c>
      <c r="N40" s="85">
        <v>44</v>
      </c>
      <c r="O40" s="85">
        <v>0</v>
      </c>
      <c r="P40" s="85">
        <v>0</v>
      </c>
      <c r="Q40" s="85">
        <v>0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9568</v>
      </c>
      <c r="H41" s="83">
        <v>0</v>
      </c>
      <c r="I41" s="84">
        <v>9239</v>
      </c>
      <c r="J41" s="85">
        <v>224</v>
      </c>
      <c r="K41" s="85">
        <v>28</v>
      </c>
      <c r="L41" s="85">
        <v>0</v>
      </c>
      <c r="M41" s="85">
        <v>0</v>
      </c>
      <c r="N41" s="85">
        <v>5</v>
      </c>
      <c r="O41" s="85">
        <v>69</v>
      </c>
      <c r="P41" s="85">
        <v>0</v>
      </c>
      <c r="Q41" s="85">
        <v>3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796</v>
      </c>
      <c r="H42" s="83">
        <v>0</v>
      </c>
      <c r="I42" s="84">
        <v>666</v>
      </c>
      <c r="J42" s="85">
        <v>130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911</v>
      </c>
      <c r="H43" s="90">
        <v>0</v>
      </c>
      <c r="I43" s="91">
        <v>909</v>
      </c>
      <c r="J43" s="92">
        <v>0</v>
      </c>
      <c r="K43" s="92">
        <v>0</v>
      </c>
      <c r="L43" s="92">
        <v>0</v>
      </c>
      <c r="M43" s="92">
        <v>0</v>
      </c>
      <c r="N43" s="92">
        <v>2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25764</v>
      </c>
      <c r="H44" s="95">
        <v>0</v>
      </c>
      <c r="I44" s="96">
        <v>24392</v>
      </c>
      <c r="J44" s="97">
        <v>1040</v>
      </c>
      <c r="K44" s="97">
        <v>178</v>
      </c>
      <c r="L44" s="97">
        <v>0</v>
      </c>
      <c r="M44" s="97">
        <v>0</v>
      </c>
      <c r="N44" s="97">
        <v>82</v>
      </c>
      <c r="O44" s="97">
        <v>69</v>
      </c>
      <c r="P44" s="97">
        <v>0</v>
      </c>
      <c r="Q44" s="97">
        <v>3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2</v>
      </c>
      <c r="H46" s="83">
        <v>0</v>
      </c>
      <c r="I46" s="84">
        <v>0</v>
      </c>
      <c r="J46" s="85"/>
      <c r="K46" s="85"/>
      <c r="L46" s="85">
        <v>2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6927</v>
      </c>
      <c r="H47" s="83">
        <v>0</v>
      </c>
      <c r="I47" s="84">
        <v>0</v>
      </c>
      <c r="J47" s="85">
        <v>0</v>
      </c>
      <c r="K47" s="85">
        <v>0</v>
      </c>
      <c r="L47" s="85">
        <v>6555</v>
      </c>
      <c r="M47" s="85">
        <v>318</v>
      </c>
      <c r="N47" s="85">
        <v>6</v>
      </c>
      <c r="O47" s="85">
        <v>0</v>
      </c>
      <c r="P47" s="85">
        <v>16</v>
      </c>
      <c r="Q47" s="85">
        <v>32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2349</v>
      </c>
      <c r="H48" s="83">
        <v>0</v>
      </c>
      <c r="I48" s="84">
        <v>0</v>
      </c>
      <c r="J48" s="85">
        <v>0</v>
      </c>
      <c r="K48" s="85">
        <v>0</v>
      </c>
      <c r="L48" s="85">
        <v>1993</v>
      </c>
      <c r="M48" s="85">
        <v>246</v>
      </c>
      <c r="N48" s="85">
        <v>13</v>
      </c>
      <c r="O48" s="85">
        <v>0</v>
      </c>
      <c r="P48" s="85">
        <v>97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16228</v>
      </c>
      <c r="H49" s="90">
        <v>0</v>
      </c>
      <c r="I49" s="91">
        <v>0</v>
      </c>
      <c r="J49" s="92">
        <v>0</v>
      </c>
      <c r="K49" s="92">
        <v>0</v>
      </c>
      <c r="L49" s="92">
        <v>12552</v>
      </c>
      <c r="M49" s="92">
        <v>941</v>
      </c>
      <c r="N49" s="92">
        <v>306</v>
      </c>
      <c r="O49" s="92">
        <v>1393</v>
      </c>
      <c r="P49" s="92">
        <v>1036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25506</v>
      </c>
      <c r="H50" s="95">
        <v>0</v>
      </c>
      <c r="I50" s="96">
        <v>0</v>
      </c>
      <c r="J50" s="97">
        <v>0</v>
      </c>
      <c r="K50" s="97">
        <v>0</v>
      </c>
      <c r="L50" s="97">
        <v>21102</v>
      </c>
      <c r="M50" s="97">
        <v>1505</v>
      </c>
      <c r="N50" s="97">
        <v>325</v>
      </c>
      <c r="O50" s="97">
        <v>1393</v>
      </c>
      <c r="P50" s="97">
        <v>1149</v>
      </c>
      <c r="Q50" s="97">
        <v>32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6910</v>
      </c>
      <c r="H52" s="83">
        <v>0</v>
      </c>
      <c r="I52" s="84">
        <v>16</v>
      </c>
      <c r="J52" s="85">
        <v>4</v>
      </c>
      <c r="K52" s="85">
        <v>4909</v>
      </c>
      <c r="L52" s="85">
        <v>0</v>
      </c>
      <c r="M52" s="85">
        <v>0</v>
      </c>
      <c r="N52" s="85">
        <v>1669</v>
      </c>
      <c r="O52" s="85">
        <v>312</v>
      </c>
      <c r="P52" s="85">
        <v>0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15928</v>
      </c>
      <c r="H53" s="90">
        <v>0</v>
      </c>
      <c r="I53" s="91">
        <v>11548</v>
      </c>
      <c r="J53" s="92">
        <v>1737</v>
      </c>
      <c r="K53" s="92">
        <v>1113</v>
      </c>
      <c r="L53" s="92">
        <v>0</v>
      </c>
      <c r="M53" s="92">
        <v>0</v>
      </c>
      <c r="N53" s="92">
        <v>91</v>
      </c>
      <c r="O53" s="92">
        <v>662</v>
      </c>
      <c r="P53" s="92">
        <v>0</v>
      </c>
      <c r="Q53" s="92">
        <v>777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22838</v>
      </c>
      <c r="H54" s="95">
        <v>0</v>
      </c>
      <c r="I54" s="96">
        <v>11564</v>
      </c>
      <c r="J54" s="97">
        <v>1741</v>
      </c>
      <c r="K54" s="97">
        <v>6022</v>
      </c>
      <c r="L54" s="97">
        <v>0</v>
      </c>
      <c r="M54" s="97">
        <v>0</v>
      </c>
      <c r="N54" s="97">
        <v>1760</v>
      </c>
      <c r="O54" s="97">
        <v>974</v>
      </c>
      <c r="P54" s="97">
        <v>0</v>
      </c>
      <c r="Q54" s="97">
        <v>777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1</v>
      </c>
      <c r="H55" s="100">
        <v>0</v>
      </c>
      <c r="I55" s="101">
        <v>0</v>
      </c>
      <c r="J55" s="102"/>
      <c r="K55" s="102"/>
      <c r="L55" s="102">
        <v>0</v>
      </c>
      <c r="M55" s="102">
        <v>1</v>
      </c>
      <c r="N55" s="102">
        <v>0</v>
      </c>
      <c r="O55" s="102"/>
      <c r="P55" s="102"/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1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1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5065</v>
      </c>
      <c r="H57" s="83">
        <v>0</v>
      </c>
      <c r="I57" s="84">
        <v>0</v>
      </c>
      <c r="J57" s="85"/>
      <c r="K57" s="85"/>
      <c r="L57" s="85">
        <v>0</v>
      </c>
      <c r="M57" s="85">
        <v>0</v>
      </c>
      <c r="N57" s="85">
        <v>2287</v>
      </c>
      <c r="O57" s="85">
        <v>2375</v>
      </c>
      <c r="P57" s="85">
        <v>216</v>
      </c>
      <c r="Q57" s="85">
        <v>182</v>
      </c>
      <c r="R57" s="85">
        <v>0</v>
      </c>
      <c r="S57" s="87">
        <v>5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1388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1388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555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555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560</v>
      </c>
      <c r="H60" s="83">
        <v>0</v>
      </c>
      <c r="I60" s="84">
        <v>0</v>
      </c>
      <c r="J60" s="85"/>
      <c r="K60" s="85"/>
      <c r="L60" s="85">
        <v>0</v>
      </c>
      <c r="M60" s="85">
        <v>443</v>
      </c>
      <c r="N60" s="85">
        <v>0</v>
      </c>
      <c r="O60" s="85"/>
      <c r="P60" s="85"/>
      <c r="Q60" s="85">
        <v>0</v>
      </c>
      <c r="R60" s="85">
        <v>0</v>
      </c>
      <c r="S60" s="87">
        <v>117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1791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1791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3492</v>
      </c>
      <c r="H62" s="83">
        <v>0</v>
      </c>
      <c r="I62" s="84">
        <v>0</v>
      </c>
      <c r="J62" s="85">
        <v>0</v>
      </c>
      <c r="K62" s="85">
        <v>1063</v>
      </c>
      <c r="L62" s="85">
        <v>0</v>
      </c>
      <c r="M62" s="85">
        <v>0</v>
      </c>
      <c r="N62" s="85">
        <v>1058</v>
      </c>
      <c r="O62" s="85">
        <v>587</v>
      </c>
      <c r="P62" s="85">
        <v>252</v>
      </c>
      <c r="Q62" s="85">
        <v>515</v>
      </c>
      <c r="R62" s="85">
        <v>0</v>
      </c>
      <c r="S62" s="87">
        <v>17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4715</v>
      </c>
      <c r="H63" s="83">
        <v>0</v>
      </c>
      <c r="I63" s="84">
        <v>0</v>
      </c>
      <c r="J63" s="85">
        <v>0</v>
      </c>
      <c r="K63" s="85">
        <v>1312</v>
      </c>
      <c r="L63" s="85">
        <v>0</v>
      </c>
      <c r="M63" s="85">
        <v>0</v>
      </c>
      <c r="N63" s="85">
        <v>843</v>
      </c>
      <c r="O63" s="85">
        <v>889</v>
      </c>
      <c r="P63" s="85">
        <v>185</v>
      </c>
      <c r="Q63" s="85">
        <v>89</v>
      </c>
      <c r="R63" s="85">
        <v>0</v>
      </c>
      <c r="S63" s="87">
        <v>1397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139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139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2496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1030</v>
      </c>
      <c r="P65" s="85">
        <v>0</v>
      </c>
      <c r="Q65" s="85">
        <v>0</v>
      </c>
      <c r="R65" s="85">
        <v>0</v>
      </c>
      <c r="S65" s="87">
        <v>1466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96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96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948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116</v>
      </c>
      <c r="O67" s="92">
        <v>4</v>
      </c>
      <c r="P67" s="92">
        <v>8</v>
      </c>
      <c r="Q67" s="92">
        <v>611</v>
      </c>
      <c r="R67" s="92">
        <v>0</v>
      </c>
      <c r="S67" s="104">
        <v>209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21245</v>
      </c>
      <c r="H68" s="106">
        <v>0</v>
      </c>
      <c r="I68" s="107">
        <v>0</v>
      </c>
      <c r="J68" s="108">
        <v>0</v>
      </c>
      <c r="K68" s="108">
        <v>2375</v>
      </c>
      <c r="L68" s="108">
        <v>0</v>
      </c>
      <c r="M68" s="108">
        <v>443</v>
      </c>
      <c r="N68" s="108">
        <v>4304</v>
      </c>
      <c r="O68" s="108">
        <v>4885</v>
      </c>
      <c r="P68" s="108">
        <v>661</v>
      </c>
      <c r="Q68" s="108">
        <v>1397</v>
      </c>
      <c r="R68" s="108">
        <v>0</v>
      </c>
      <c r="S68" s="109">
        <v>7180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1747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1747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7127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33</v>
      </c>
      <c r="O70" s="85">
        <v>0</v>
      </c>
      <c r="P70" s="85">
        <v>841</v>
      </c>
      <c r="Q70" s="85">
        <v>209</v>
      </c>
      <c r="R70" s="85">
        <v>6044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5529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121</v>
      </c>
      <c r="O71" s="85">
        <v>0</v>
      </c>
      <c r="P71" s="85">
        <v>282</v>
      </c>
      <c r="Q71" s="85">
        <v>57</v>
      </c>
      <c r="R71" s="85">
        <v>5069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7351</v>
      </c>
      <c r="H72" s="83">
        <v>0</v>
      </c>
      <c r="I72" s="84">
        <v>0</v>
      </c>
      <c r="J72" s="85"/>
      <c r="K72" s="85"/>
      <c r="L72" s="85">
        <v>0</v>
      </c>
      <c r="M72" s="85">
        <v>49</v>
      </c>
      <c r="N72" s="85">
        <v>200</v>
      </c>
      <c r="O72" s="85">
        <v>249</v>
      </c>
      <c r="P72" s="85">
        <v>50</v>
      </c>
      <c r="Q72" s="85">
        <v>22</v>
      </c>
      <c r="R72" s="85">
        <v>6781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0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87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87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21841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49</v>
      </c>
      <c r="N75" s="108">
        <v>354</v>
      </c>
      <c r="O75" s="108">
        <v>249</v>
      </c>
      <c r="P75" s="108">
        <v>1173</v>
      </c>
      <c r="Q75" s="108">
        <v>288</v>
      </c>
      <c r="R75" s="108">
        <v>19728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5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5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5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5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131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126</v>
      </c>
      <c r="P79" s="80">
        <v>0</v>
      </c>
      <c r="Q79" s="80">
        <v>5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29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29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373</v>
      </c>
      <c r="H81" s="83">
        <v>0</v>
      </c>
      <c r="I81" s="84">
        <v>0</v>
      </c>
      <c r="J81" s="85"/>
      <c r="K81" s="85"/>
      <c r="L81" s="85">
        <v>0</v>
      </c>
      <c r="M81" s="85">
        <v>256</v>
      </c>
      <c r="N81" s="85">
        <v>0</v>
      </c>
      <c r="O81" s="85"/>
      <c r="P81" s="85"/>
      <c r="Q81" s="85">
        <v>117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20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20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2183</v>
      </c>
      <c r="H85" s="83">
        <v>0</v>
      </c>
      <c r="I85" s="84">
        <v>0</v>
      </c>
      <c r="J85" s="85"/>
      <c r="K85" s="85"/>
      <c r="L85" s="85">
        <v>0</v>
      </c>
      <c r="M85" s="85">
        <v>1410</v>
      </c>
      <c r="N85" s="85">
        <v>322</v>
      </c>
      <c r="O85" s="85"/>
      <c r="P85" s="85"/>
      <c r="Q85" s="85">
        <v>451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338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338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547</v>
      </c>
      <c r="H87" s="83">
        <v>0</v>
      </c>
      <c r="I87" s="84">
        <v>0</v>
      </c>
      <c r="J87" s="85"/>
      <c r="K87" s="85"/>
      <c r="L87" s="85">
        <v>0</v>
      </c>
      <c r="M87" s="85">
        <v>46</v>
      </c>
      <c r="N87" s="85">
        <v>0</v>
      </c>
      <c r="O87" s="85"/>
      <c r="P87" s="85"/>
      <c r="Q87" s="85">
        <v>501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19</v>
      </c>
      <c r="H88" s="83">
        <v>0</v>
      </c>
      <c r="I88" s="84">
        <v>0</v>
      </c>
      <c r="J88" s="85"/>
      <c r="K88" s="85"/>
      <c r="L88" s="85">
        <v>0</v>
      </c>
      <c r="M88" s="85">
        <v>19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1661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890</v>
      </c>
      <c r="N92" s="85">
        <v>0</v>
      </c>
      <c r="O92" s="85">
        <v>569</v>
      </c>
      <c r="P92" s="85">
        <v>0</v>
      </c>
      <c r="Q92" s="85">
        <v>202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245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104</v>
      </c>
      <c r="P93" s="85">
        <v>0</v>
      </c>
      <c r="Q93" s="85">
        <v>141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364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364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552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552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1132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208</v>
      </c>
      <c r="O97" s="92"/>
      <c r="P97" s="92"/>
      <c r="Q97" s="92">
        <v>924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7594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2621</v>
      </c>
      <c r="N98" s="108">
        <v>530</v>
      </c>
      <c r="O98" s="108">
        <v>1137</v>
      </c>
      <c r="P98" s="108">
        <v>0</v>
      </c>
      <c r="Q98" s="108">
        <v>3306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104</v>
      </c>
      <c r="H101" s="83">
        <v>0</v>
      </c>
      <c r="I101" s="84">
        <v>0</v>
      </c>
      <c r="J101" s="85"/>
      <c r="K101" s="85"/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104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372</v>
      </c>
      <c r="H102" s="83">
        <v>322</v>
      </c>
      <c r="I102" s="84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50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52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52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72</v>
      </c>
      <c r="H106" s="83">
        <v>0</v>
      </c>
      <c r="I106" s="84">
        <v>0</v>
      </c>
      <c r="J106" s="85"/>
      <c r="K106" s="85"/>
      <c r="L106" s="85">
        <v>0</v>
      </c>
      <c r="M106" s="85">
        <v>0</v>
      </c>
      <c r="N106" s="85">
        <v>0</v>
      </c>
      <c r="O106" s="85">
        <v>72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24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24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624</v>
      </c>
      <c r="H108" s="95">
        <v>322</v>
      </c>
      <c r="I108" s="96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124</v>
      </c>
      <c r="P108" s="97">
        <v>50</v>
      </c>
      <c r="Q108" s="97">
        <v>128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255076</v>
      </c>
      <c r="H110" s="116">
        <v>46325</v>
      </c>
      <c r="I110" s="117">
        <v>63849</v>
      </c>
      <c r="J110" s="118">
        <v>10295</v>
      </c>
      <c r="K110" s="118">
        <v>9410</v>
      </c>
      <c r="L110" s="118">
        <v>45819</v>
      </c>
      <c r="M110" s="118">
        <v>6994</v>
      </c>
      <c r="N110" s="118">
        <v>12305</v>
      </c>
      <c r="O110" s="118">
        <v>14442</v>
      </c>
      <c r="P110" s="118">
        <v>4135</v>
      </c>
      <c r="Q110" s="118">
        <v>14534</v>
      </c>
      <c r="R110" s="118">
        <v>19774</v>
      </c>
      <c r="S110" s="119">
        <v>7194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19410</v>
      </c>
      <c r="H111" s="121">
        <v>5365</v>
      </c>
      <c r="I111" s="122">
        <v>2074</v>
      </c>
      <c r="J111" s="123">
        <v>711</v>
      </c>
      <c r="K111" s="123">
        <v>11</v>
      </c>
      <c r="L111" s="123">
        <v>8853</v>
      </c>
      <c r="M111" s="123">
        <v>810</v>
      </c>
      <c r="N111" s="123">
        <v>160</v>
      </c>
      <c r="O111" s="123">
        <v>13</v>
      </c>
      <c r="P111" s="123">
        <v>60</v>
      </c>
      <c r="Q111" s="123">
        <v>1084</v>
      </c>
      <c r="R111" s="123">
        <v>46</v>
      </c>
      <c r="S111" s="124">
        <v>223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6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51FD-6D61-401C-8E6E-C3B221C71868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10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102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9683</v>
      </c>
      <c r="H6" s="78">
        <v>838</v>
      </c>
      <c r="I6" s="79">
        <v>0</v>
      </c>
      <c r="J6" s="80"/>
      <c r="K6" s="80"/>
      <c r="L6" s="80">
        <v>5645</v>
      </c>
      <c r="M6" s="80">
        <v>91</v>
      </c>
      <c r="N6" s="80">
        <v>1371</v>
      </c>
      <c r="O6" s="80">
        <v>96</v>
      </c>
      <c r="P6" s="80">
        <v>859</v>
      </c>
      <c r="Q6" s="80">
        <v>783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2327</v>
      </c>
      <c r="H8" s="83">
        <v>2327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1442</v>
      </c>
      <c r="H9" s="83">
        <v>1442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10</v>
      </c>
      <c r="H10" s="83">
        <v>0</v>
      </c>
      <c r="I10" s="84">
        <v>0</v>
      </c>
      <c r="J10" s="85">
        <v>3</v>
      </c>
      <c r="K10" s="85">
        <v>0</v>
      </c>
      <c r="L10" s="85">
        <v>0</v>
      </c>
      <c r="M10" s="85">
        <v>3</v>
      </c>
      <c r="N10" s="85">
        <v>1</v>
      </c>
      <c r="O10" s="85">
        <v>3</v>
      </c>
      <c r="P10" s="85">
        <v>0</v>
      </c>
      <c r="Q10" s="85">
        <v>0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9504</v>
      </c>
      <c r="H11" s="83">
        <v>2868</v>
      </c>
      <c r="I11" s="84">
        <v>5879</v>
      </c>
      <c r="J11" s="85">
        <v>0</v>
      </c>
      <c r="K11" s="85">
        <v>0</v>
      </c>
      <c r="L11" s="85">
        <v>0</v>
      </c>
      <c r="M11" s="85">
        <v>6</v>
      </c>
      <c r="N11" s="85">
        <v>9</v>
      </c>
      <c r="O11" s="85">
        <v>742</v>
      </c>
      <c r="P11" s="85">
        <v>0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2177</v>
      </c>
      <c r="H13" s="83">
        <v>2090</v>
      </c>
      <c r="I13" s="84">
        <v>0</v>
      </c>
      <c r="J13" s="85">
        <v>0</v>
      </c>
      <c r="K13" s="85">
        <v>0</v>
      </c>
      <c r="L13" s="85">
        <v>0</v>
      </c>
      <c r="M13" s="85">
        <v>20</v>
      </c>
      <c r="N13" s="85">
        <v>0</v>
      </c>
      <c r="O13" s="85">
        <v>62</v>
      </c>
      <c r="P13" s="85">
        <v>0</v>
      </c>
      <c r="Q13" s="85">
        <v>5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116</v>
      </c>
      <c r="H14" s="83">
        <v>113</v>
      </c>
      <c r="I14" s="84">
        <v>0</v>
      </c>
      <c r="J14" s="85">
        <v>0</v>
      </c>
      <c r="K14" s="85">
        <v>0</v>
      </c>
      <c r="L14" s="85">
        <v>0</v>
      </c>
      <c r="M14" s="85">
        <v>2</v>
      </c>
      <c r="N14" s="85">
        <v>0</v>
      </c>
      <c r="O14" s="85">
        <v>1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5606</v>
      </c>
      <c r="H15" s="83">
        <v>0</v>
      </c>
      <c r="I15" s="84">
        <v>0</v>
      </c>
      <c r="J15" s="85"/>
      <c r="K15" s="85"/>
      <c r="L15" s="85">
        <v>4080</v>
      </c>
      <c r="M15" s="85">
        <v>212</v>
      </c>
      <c r="N15" s="85">
        <v>110</v>
      </c>
      <c r="O15" s="85">
        <v>284</v>
      </c>
      <c r="P15" s="85">
        <v>322</v>
      </c>
      <c r="Q15" s="85">
        <v>598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13824</v>
      </c>
      <c r="H16" s="83">
        <v>4921</v>
      </c>
      <c r="I16" s="84">
        <v>4917</v>
      </c>
      <c r="J16" s="85">
        <v>2137</v>
      </c>
      <c r="K16" s="85">
        <v>0</v>
      </c>
      <c r="L16" s="85">
        <v>0</v>
      </c>
      <c r="M16" s="85">
        <v>148</v>
      </c>
      <c r="N16" s="85">
        <v>432</v>
      </c>
      <c r="O16" s="85">
        <v>196</v>
      </c>
      <c r="P16" s="85">
        <v>0</v>
      </c>
      <c r="Q16" s="85">
        <v>1073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4991</v>
      </c>
      <c r="H17" s="83">
        <v>0</v>
      </c>
      <c r="I17" s="84">
        <v>4665</v>
      </c>
      <c r="J17" s="85">
        <v>4</v>
      </c>
      <c r="K17" s="85">
        <v>0</v>
      </c>
      <c r="L17" s="85">
        <v>0</v>
      </c>
      <c r="M17" s="85">
        <v>50</v>
      </c>
      <c r="N17" s="85">
        <v>258</v>
      </c>
      <c r="O17" s="85">
        <v>0</v>
      </c>
      <c r="P17" s="85">
        <v>0</v>
      </c>
      <c r="Q17" s="85">
        <v>14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1</v>
      </c>
      <c r="H18" s="83">
        <v>0</v>
      </c>
      <c r="I18" s="84">
        <v>0</v>
      </c>
      <c r="J18" s="85">
        <v>0</v>
      </c>
      <c r="K18" s="85">
        <v>0</v>
      </c>
      <c r="L18" s="85">
        <v>1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8195</v>
      </c>
      <c r="H19" s="83">
        <v>1027</v>
      </c>
      <c r="I19" s="84">
        <v>2092</v>
      </c>
      <c r="J19" s="85">
        <v>638</v>
      </c>
      <c r="K19" s="85">
        <v>57</v>
      </c>
      <c r="L19" s="85">
        <v>3327</v>
      </c>
      <c r="M19" s="85">
        <v>2</v>
      </c>
      <c r="N19" s="85">
        <v>165</v>
      </c>
      <c r="O19" s="85">
        <v>729</v>
      </c>
      <c r="P19" s="85">
        <v>68</v>
      </c>
      <c r="Q19" s="85">
        <v>90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1689</v>
      </c>
      <c r="H20" s="83">
        <v>8</v>
      </c>
      <c r="I20" s="84">
        <v>659</v>
      </c>
      <c r="J20" s="85">
        <v>254</v>
      </c>
      <c r="K20" s="85">
        <v>0</v>
      </c>
      <c r="L20" s="85">
        <v>711</v>
      </c>
      <c r="M20" s="85">
        <v>2</v>
      </c>
      <c r="N20" s="85">
        <v>49</v>
      </c>
      <c r="O20" s="85">
        <v>0</v>
      </c>
      <c r="P20" s="85">
        <v>0</v>
      </c>
      <c r="Q20" s="85">
        <v>6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1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1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8202</v>
      </c>
      <c r="H23" s="83">
        <v>2199</v>
      </c>
      <c r="I23" s="84">
        <v>0</v>
      </c>
      <c r="J23" s="85"/>
      <c r="K23" s="85"/>
      <c r="L23" s="85">
        <v>5057</v>
      </c>
      <c r="M23" s="85">
        <v>609</v>
      </c>
      <c r="N23" s="85">
        <v>35</v>
      </c>
      <c r="O23" s="85">
        <v>0</v>
      </c>
      <c r="P23" s="85">
        <v>13</v>
      </c>
      <c r="Q23" s="85">
        <v>289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1486</v>
      </c>
      <c r="H24" s="83">
        <v>1485</v>
      </c>
      <c r="I24" s="84">
        <v>0</v>
      </c>
      <c r="J24" s="85">
        <v>0</v>
      </c>
      <c r="K24" s="85">
        <v>0</v>
      </c>
      <c r="L24" s="85">
        <v>1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2</v>
      </c>
      <c r="H25" s="83">
        <v>0</v>
      </c>
      <c r="I25" s="84">
        <v>0</v>
      </c>
      <c r="J25" s="85"/>
      <c r="K25" s="85"/>
      <c r="L25" s="85">
        <v>2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2446</v>
      </c>
      <c r="H26" s="83">
        <v>936</v>
      </c>
      <c r="I26" s="84">
        <v>41</v>
      </c>
      <c r="J26" s="85">
        <v>0</v>
      </c>
      <c r="K26" s="85">
        <v>13</v>
      </c>
      <c r="L26" s="85">
        <v>1244</v>
      </c>
      <c r="M26" s="85">
        <v>103</v>
      </c>
      <c r="N26" s="85">
        <v>3</v>
      </c>
      <c r="O26" s="85">
        <v>3</v>
      </c>
      <c r="P26" s="85">
        <v>10</v>
      </c>
      <c r="Q26" s="85">
        <v>45</v>
      </c>
      <c r="R26" s="85">
        <v>48</v>
      </c>
      <c r="S26" s="86">
        <v>0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1559</v>
      </c>
      <c r="H27" s="83">
        <v>173</v>
      </c>
      <c r="I27" s="84">
        <v>3</v>
      </c>
      <c r="J27" s="85">
        <v>356</v>
      </c>
      <c r="K27" s="85">
        <v>0</v>
      </c>
      <c r="L27" s="85">
        <v>951</v>
      </c>
      <c r="M27" s="85">
        <v>15</v>
      </c>
      <c r="N27" s="85">
        <v>6</v>
      </c>
      <c r="O27" s="85">
        <v>8</v>
      </c>
      <c r="P27" s="85">
        <v>11</v>
      </c>
      <c r="Q27" s="85">
        <v>36</v>
      </c>
      <c r="R27" s="85">
        <v>0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18521</v>
      </c>
      <c r="H28" s="83">
        <v>5424</v>
      </c>
      <c r="I28" s="84">
        <v>5931</v>
      </c>
      <c r="J28" s="85">
        <v>2741</v>
      </c>
      <c r="K28" s="85">
        <v>765</v>
      </c>
      <c r="L28" s="85">
        <v>0</v>
      </c>
      <c r="M28" s="85">
        <v>349</v>
      </c>
      <c r="N28" s="85">
        <v>1158</v>
      </c>
      <c r="O28" s="85">
        <v>127</v>
      </c>
      <c r="P28" s="85">
        <v>0</v>
      </c>
      <c r="Q28" s="85">
        <v>2026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13454</v>
      </c>
      <c r="H29" s="83">
        <v>7053</v>
      </c>
      <c r="I29" s="84">
        <v>1622</v>
      </c>
      <c r="J29" s="85">
        <v>459</v>
      </c>
      <c r="K29" s="85">
        <v>0</v>
      </c>
      <c r="L29" s="85">
        <v>1201</v>
      </c>
      <c r="M29" s="85">
        <v>455</v>
      </c>
      <c r="N29" s="85">
        <v>155</v>
      </c>
      <c r="O29" s="85">
        <v>1474</v>
      </c>
      <c r="P29" s="85">
        <v>101</v>
      </c>
      <c r="Q29" s="85">
        <v>934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0</v>
      </c>
      <c r="H30" s="83">
        <v>0</v>
      </c>
      <c r="I30" s="84">
        <v>0</v>
      </c>
      <c r="J30" s="85"/>
      <c r="K30" s="85"/>
      <c r="L30" s="85">
        <v>0</v>
      </c>
      <c r="M30" s="85">
        <v>0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16015</v>
      </c>
      <c r="H31" s="83">
        <v>7211</v>
      </c>
      <c r="I31" s="84">
        <v>5928</v>
      </c>
      <c r="J31" s="85">
        <v>494</v>
      </c>
      <c r="K31" s="85">
        <v>0</v>
      </c>
      <c r="L31" s="85">
        <v>0</v>
      </c>
      <c r="M31" s="85">
        <v>7</v>
      </c>
      <c r="N31" s="85">
        <v>130</v>
      </c>
      <c r="O31" s="85">
        <v>487</v>
      </c>
      <c r="P31" s="85">
        <v>71</v>
      </c>
      <c r="Q31" s="85">
        <v>1687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2055</v>
      </c>
      <c r="H32" s="83">
        <v>1271</v>
      </c>
      <c r="I32" s="84">
        <v>0</v>
      </c>
      <c r="J32" s="85"/>
      <c r="K32" s="85"/>
      <c r="L32" s="85">
        <v>0</v>
      </c>
      <c r="M32" s="85">
        <v>0</v>
      </c>
      <c r="N32" s="85">
        <v>16</v>
      </c>
      <c r="O32" s="85">
        <v>4</v>
      </c>
      <c r="P32" s="85">
        <v>1</v>
      </c>
      <c r="Q32" s="85">
        <v>763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5786</v>
      </c>
      <c r="H33" s="83">
        <v>2836</v>
      </c>
      <c r="I33" s="84">
        <v>0</v>
      </c>
      <c r="J33" s="85"/>
      <c r="K33" s="85"/>
      <c r="L33" s="85">
        <v>0</v>
      </c>
      <c r="M33" s="85">
        <v>38</v>
      </c>
      <c r="N33" s="85">
        <v>1123</v>
      </c>
      <c r="O33" s="85">
        <v>1315</v>
      </c>
      <c r="P33" s="85">
        <v>215</v>
      </c>
      <c r="Q33" s="85">
        <v>259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684</v>
      </c>
      <c r="H34" s="83">
        <v>684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111</v>
      </c>
      <c r="H35" s="83">
        <v>111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1</v>
      </c>
      <c r="H36" s="90">
        <v>0</v>
      </c>
      <c r="I36" s="91">
        <v>0</v>
      </c>
      <c r="J36" s="92"/>
      <c r="K36" s="92"/>
      <c r="L36" s="92">
        <v>1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129888</v>
      </c>
      <c r="H37" s="95">
        <v>45017</v>
      </c>
      <c r="I37" s="96">
        <v>31737</v>
      </c>
      <c r="J37" s="97">
        <v>7086</v>
      </c>
      <c r="K37" s="97">
        <v>835</v>
      </c>
      <c r="L37" s="97">
        <v>22221</v>
      </c>
      <c r="M37" s="97">
        <v>2112</v>
      </c>
      <c r="N37" s="97">
        <v>5021</v>
      </c>
      <c r="O37" s="97">
        <v>5531</v>
      </c>
      <c r="P37" s="97">
        <v>1671</v>
      </c>
      <c r="Q37" s="97">
        <v>8609</v>
      </c>
      <c r="R37" s="97">
        <v>48</v>
      </c>
      <c r="S37" s="98">
        <v>0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8547</v>
      </c>
      <c r="H39" s="83">
        <v>0</v>
      </c>
      <c r="I39" s="84">
        <v>8461</v>
      </c>
      <c r="J39" s="85">
        <v>0</v>
      </c>
      <c r="K39" s="85">
        <v>0</v>
      </c>
      <c r="L39" s="85">
        <v>0</v>
      </c>
      <c r="M39" s="85">
        <v>0</v>
      </c>
      <c r="N39" s="85">
        <v>86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6796</v>
      </c>
      <c r="H40" s="83">
        <v>0</v>
      </c>
      <c r="I40" s="84">
        <v>6343</v>
      </c>
      <c r="J40" s="85">
        <v>279</v>
      </c>
      <c r="K40" s="85">
        <v>128</v>
      </c>
      <c r="L40" s="85">
        <v>0</v>
      </c>
      <c r="M40" s="85">
        <v>0</v>
      </c>
      <c r="N40" s="85">
        <v>46</v>
      </c>
      <c r="O40" s="85">
        <v>0</v>
      </c>
      <c r="P40" s="85">
        <v>0</v>
      </c>
      <c r="Q40" s="85">
        <v>0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10626</v>
      </c>
      <c r="H41" s="83">
        <v>0</v>
      </c>
      <c r="I41" s="84">
        <v>10411</v>
      </c>
      <c r="J41" s="85">
        <v>106</v>
      </c>
      <c r="K41" s="85">
        <v>34</v>
      </c>
      <c r="L41" s="85">
        <v>0</v>
      </c>
      <c r="M41" s="85">
        <v>0</v>
      </c>
      <c r="N41" s="85">
        <v>20</v>
      </c>
      <c r="O41" s="85">
        <v>54</v>
      </c>
      <c r="P41" s="85">
        <v>0</v>
      </c>
      <c r="Q41" s="85">
        <v>1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1313</v>
      </c>
      <c r="H42" s="83">
        <v>0</v>
      </c>
      <c r="I42" s="84">
        <v>1249</v>
      </c>
      <c r="J42" s="85">
        <v>64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1734</v>
      </c>
      <c r="H43" s="90">
        <v>0</v>
      </c>
      <c r="I43" s="91">
        <v>1734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29016</v>
      </c>
      <c r="H44" s="95">
        <v>0</v>
      </c>
      <c r="I44" s="96">
        <v>28198</v>
      </c>
      <c r="J44" s="97">
        <v>449</v>
      </c>
      <c r="K44" s="97">
        <v>162</v>
      </c>
      <c r="L44" s="97">
        <v>0</v>
      </c>
      <c r="M44" s="97">
        <v>0</v>
      </c>
      <c r="N44" s="97">
        <v>152</v>
      </c>
      <c r="O44" s="97">
        <v>54</v>
      </c>
      <c r="P44" s="97">
        <v>0</v>
      </c>
      <c r="Q44" s="97">
        <v>1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1</v>
      </c>
      <c r="H46" s="83">
        <v>0</v>
      </c>
      <c r="I46" s="84">
        <v>0</v>
      </c>
      <c r="J46" s="85"/>
      <c r="K46" s="85"/>
      <c r="L46" s="85">
        <v>1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4959</v>
      </c>
      <c r="H47" s="83">
        <v>0</v>
      </c>
      <c r="I47" s="84">
        <v>0</v>
      </c>
      <c r="J47" s="85">
        <v>0</v>
      </c>
      <c r="K47" s="85">
        <v>0</v>
      </c>
      <c r="L47" s="85">
        <v>4476</v>
      </c>
      <c r="M47" s="85">
        <v>447</v>
      </c>
      <c r="N47" s="85">
        <v>7</v>
      </c>
      <c r="O47" s="85">
        <v>0</v>
      </c>
      <c r="P47" s="85">
        <v>4</v>
      </c>
      <c r="Q47" s="85">
        <v>25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2334</v>
      </c>
      <c r="H48" s="83">
        <v>0</v>
      </c>
      <c r="I48" s="84">
        <v>0</v>
      </c>
      <c r="J48" s="85">
        <v>0</v>
      </c>
      <c r="K48" s="85">
        <v>0</v>
      </c>
      <c r="L48" s="85">
        <v>2075</v>
      </c>
      <c r="M48" s="85">
        <v>231</v>
      </c>
      <c r="N48" s="85">
        <v>11</v>
      </c>
      <c r="O48" s="85">
        <v>0</v>
      </c>
      <c r="P48" s="85">
        <v>17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17496</v>
      </c>
      <c r="H49" s="90">
        <v>0</v>
      </c>
      <c r="I49" s="91">
        <v>0</v>
      </c>
      <c r="J49" s="92">
        <v>0</v>
      </c>
      <c r="K49" s="92">
        <v>0</v>
      </c>
      <c r="L49" s="92">
        <v>13908</v>
      </c>
      <c r="M49" s="92">
        <v>926</v>
      </c>
      <c r="N49" s="92">
        <v>317</v>
      </c>
      <c r="O49" s="92">
        <v>1925</v>
      </c>
      <c r="P49" s="92">
        <v>420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24790</v>
      </c>
      <c r="H50" s="95">
        <v>0</v>
      </c>
      <c r="I50" s="96">
        <v>0</v>
      </c>
      <c r="J50" s="97">
        <v>0</v>
      </c>
      <c r="K50" s="97">
        <v>0</v>
      </c>
      <c r="L50" s="97">
        <v>20460</v>
      </c>
      <c r="M50" s="97">
        <v>1604</v>
      </c>
      <c r="N50" s="97">
        <v>335</v>
      </c>
      <c r="O50" s="97">
        <v>1925</v>
      </c>
      <c r="P50" s="97">
        <v>441</v>
      </c>
      <c r="Q50" s="97">
        <v>25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2</v>
      </c>
      <c r="H51" s="83">
        <v>0</v>
      </c>
      <c r="I51" s="84">
        <v>0</v>
      </c>
      <c r="J51" s="85">
        <v>1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1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6647</v>
      </c>
      <c r="H52" s="83">
        <v>0</v>
      </c>
      <c r="I52" s="84">
        <v>0</v>
      </c>
      <c r="J52" s="85">
        <v>4</v>
      </c>
      <c r="K52" s="85">
        <v>4793</v>
      </c>
      <c r="L52" s="85">
        <v>0</v>
      </c>
      <c r="M52" s="85">
        <v>0</v>
      </c>
      <c r="N52" s="85">
        <v>1502</v>
      </c>
      <c r="O52" s="85">
        <v>348</v>
      </c>
      <c r="P52" s="85">
        <v>0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15113</v>
      </c>
      <c r="H53" s="90">
        <v>0</v>
      </c>
      <c r="I53" s="91">
        <v>11188</v>
      </c>
      <c r="J53" s="92">
        <v>1099</v>
      </c>
      <c r="K53" s="92">
        <v>1091</v>
      </c>
      <c r="L53" s="92">
        <v>0</v>
      </c>
      <c r="M53" s="92">
        <v>0</v>
      </c>
      <c r="N53" s="92">
        <v>75</v>
      </c>
      <c r="O53" s="92">
        <v>1002</v>
      </c>
      <c r="P53" s="92">
        <v>0</v>
      </c>
      <c r="Q53" s="92">
        <v>658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21762</v>
      </c>
      <c r="H54" s="95">
        <v>0</v>
      </c>
      <c r="I54" s="96">
        <v>11188</v>
      </c>
      <c r="J54" s="97">
        <v>1104</v>
      </c>
      <c r="K54" s="97">
        <v>5884</v>
      </c>
      <c r="L54" s="97">
        <v>0</v>
      </c>
      <c r="M54" s="97">
        <v>0</v>
      </c>
      <c r="N54" s="97">
        <v>1577</v>
      </c>
      <c r="O54" s="97">
        <v>1350</v>
      </c>
      <c r="P54" s="97">
        <v>1</v>
      </c>
      <c r="Q54" s="97">
        <v>658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/>
      <c r="K55" s="102"/>
      <c r="L55" s="102">
        <v>0</v>
      </c>
      <c r="M55" s="102">
        <v>0</v>
      </c>
      <c r="N55" s="102">
        <v>0</v>
      </c>
      <c r="O55" s="102"/>
      <c r="P55" s="102"/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5133</v>
      </c>
      <c r="H57" s="83">
        <v>0</v>
      </c>
      <c r="I57" s="84">
        <v>0</v>
      </c>
      <c r="J57" s="85"/>
      <c r="K57" s="85"/>
      <c r="L57" s="85">
        <v>0</v>
      </c>
      <c r="M57" s="85">
        <v>0</v>
      </c>
      <c r="N57" s="85">
        <v>2222</v>
      </c>
      <c r="O57" s="85">
        <v>2503</v>
      </c>
      <c r="P57" s="85">
        <v>252</v>
      </c>
      <c r="Q57" s="85">
        <v>152</v>
      </c>
      <c r="R57" s="85">
        <v>0</v>
      </c>
      <c r="S57" s="87">
        <v>4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490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490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417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417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394</v>
      </c>
      <c r="H60" s="83">
        <v>0</v>
      </c>
      <c r="I60" s="84">
        <v>0</v>
      </c>
      <c r="J60" s="85"/>
      <c r="K60" s="85"/>
      <c r="L60" s="85">
        <v>0</v>
      </c>
      <c r="M60" s="85">
        <v>301</v>
      </c>
      <c r="N60" s="85">
        <v>0</v>
      </c>
      <c r="O60" s="85"/>
      <c r="P60" s="85"/>
      <c r="Q60" s="85">
        <v>0</v>
      </c>
      <c r="R60" s="85">
        <v>0</v>
      </c>
      <c r="S60" s="87">
        <v>93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2309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2309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3142</v>
      </c>
      <c r="H62" s="83">
        <v>0</v>
      </c>
      <c r="I62" s="84">
        <v>0</v>
      </c>
      <c r="J62" s="85">
        <v>0</v>
      </c>
      <c r="K62" s="85">
        <v>1078</v>
      </c>
      <c r="L62" s="85">
        <v>0</v>
      </c>
      <c r="M62" s="85">
        <v>1</v>
      </c>
      <c r="N62" s="85">
        <v>1115</v>
      </c>
      <c r="O62" s="85">
        <v>321</v>
      </c>
      <c r="P62" s="85">
        <v>126</v>
      </c>
      <c r="Q62" s="85">
        <v>473</v>
      </c>
      <c r="R62" s="85">
        <v>0</v>
      </c>
      <c r="S62" s="87">
        <v>28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4960</v>
      </c>
      <c r="H63" s="83">
        <v>0</v>
      </c>
      <c r="I63" s="84">
        <v>0</v>
      </c>
      <c r="J63" s="85">
        <v>0</v>
      </c>
      <c r="K63" s="85">
        <v>1343</v>
      </c>
      <c r="L63" s="85">
        <v>0</v>
      </c>
      <c r="M63" s="85">
        <v>0</v>
      </c>
      <c r="N63" s="85">
        <v>879</v>
      </c>
      <c r="O63" s="85">
        <v>683</v>
      </c>
      <c r="P63" s="85">
        <v>247</v>
      </c>
      <c r="Q63" s="85">
        <v>61</v>
      </c>
      <c r="R63" s="85">
        <v>0</v>
      </c>
      <c r="S63" s="87">
        <v>1747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249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249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2460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991</v>
      </c>
      <c r="P65" s="85">
        <v>0</v>
      </c>
      <c r="Q65" s="85">
        <v>0</v>
      </c>
      <c r="R65" s="85">
        <v>0</v>
      </c>
      <c r="S65" s="87">
        <v>1469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91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91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884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131</v>
      </c>
      <c r="O67" s="92">
        <v>2</v>
      </c>
      <c r="P67" s="92">
        <v>23</v>
      </c>
      <c r="Q67" s="92">
        <v>552</v>
      </c>
      <c r="R67" s="92">
        <v>0</v>
      </c>
      <c r="S67" s="104">
        <v>176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20529</v>
      </c>
      <c r="H68" s="106">
        <v>0</v>
      </c>
      <c r="I68" s="107">
        <v>0</v>
      </c>
      <c r="J68" s="108">
        <v>0</v>
      </c>
      <c r="K68" s="108">
        <v>2421</v>
      </c>
      <c r="L68" s="108">
        <v>0</v>
      </c>
      <c r="M68" s="108">
        <v>302</v>
      </c>
      <c r="N68" s="108">
        <v>4347</v>
      </c>
      <c r="O68" s="108">
        <v>4500</v>
      </c>
      <c r="P68" s="108">
        <v>648</v>
      </c>
      <c r="Q68" s="108">
        <v>1238</v>
      </c>
      <c r="R68" s="108">
        <v>0</v>
      </c>
      <c r="S68" s="109">
        <v>7073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1411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1411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8261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27</v>
      </c>
      <c r="O70" s="85">
        <v>0</v>
      </c>
      <c r="P70" s="85">
        <v>978</v>
      </c>
      <c r="Q70" s="85">
        <v>173</v>
      </c>
      <c r="R70" s="85">
        <v>7083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5978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126</v>
      </c>
      <c r="O71" s="85">
        <v>0</v>
      </c>
      <c r="P71" s="85">
        <v>210</v>
      </c>
      <c r="Q71" s="85">
        <v>69</v>
      </c>
      <c r="R71" s="85">
        <v>5573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6650</v>
      </c>
      <c r="H72" s="83">
        <v>0</v>
      </c>
      <c r="I72" s="84">
        <v>0</v>
      </c>
      <c r="J72" s="85"/>
      <c r="K72" s="85"/>
      <c r="L72" s="85">
        <v>0</v>
      </c>
      <c r="M72" s="85">
        <v>73</v>
      </c>
      <c r="N72" s="85">
        <v>212</v>
      </c>
      <c r="O72" s="85">
        <v>302</v>
      </c>
      <c r="P72" s="85">
        <v>17</v>
      </c>
      <c r="Q72" s="85">
        <v>31</v>
      </c>
      <c r="R72" s="85">
        <v>6015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133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133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98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98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22531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73</v>
      </c>
      <c r="N75" s="108">
        <v>365</v>
      </c>
      <c r="O75" s="108">
        <v>302</v>
      </c>
      <c r="P75" s="108">
        <v>1205</v>
      </c>
      <c r="Q75" s="108">
        <v>273</v>
      </c>
      <c r="R75" s="108">
        <v>20313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3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3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3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3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147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138</v>
      </c>
      <c r="P79" s="80">
        <v>0</v>
      </c>
      <c r="Q79" s="80">
        <v>9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25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25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327</v>
      </c>
      <c r="H81" s="83">
        <v>0</v>
      </c>
      <c r="I81" s="84">
        <v>0</v>
      </c>
      <c r="J81" s="85"/>
      <c r="K81" s="85"/>
      <c r="L81" s="85">
        <v>0</v>
      </c>
      <c r="M81" s="85">
        <v>203</v>
      </c>
      <c r="N81" s="85">
        <v>0</v>
      </c>
      <c r="O81" s="85"/>
      <c r="P81" s="85"/>
      <c r="Q81" s="85">
        <v>124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17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17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2167</v>
      </c>
      <c r="H85" s="83">
        <v>0</v>
      </c>
      <c r="I85" s="84">
        <v>0</v>
      </c>
      <c r="J85" s="85"/>
      <c r="K85" s="85"/>
      <c r="L85" s="85">
        <v>0</v>
      </c>
      <c r="M85" s="85">
        <v>1550</v>
      </c>
      <c r="N85" s="85">
        <v>340</v>
      </c>
      <c r="O85" s="85"/>
      <c r="P85" s="85"/>
      <c r="Q85" s="85">
        <v>277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362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362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512</v>
      </c>
      <c r="H87" s="83">
        <v>0</v>
      </c>
      <c r="I87" s="84">
        <v>0</v>
      </c>
      <c r="J87" s="85"/>
      <c r="K87" s="85"/>
      <c r="L87" s="85">
        <v>0</v>
      </c>
      <c r="M87" s="85">
        <v>3</v>
      </c>
      <c r="N87" s="85">
        <v>0</v>
      </c>
      <c r="O87" s="85"/>
      <c r="P87" s="85"/>
      <c r="Q87" s="85">
        <v>509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4</v>
      </c>
      <c r="H88" s="83">
        <v>0</v>
      </c>
      <c r="I88" s="84">
        <v>0</v>
      </c>
      <c r="J88" s="85"/>
      <c r="K88" s="85"/>
      <c r="L88" s="85">
        <v>0</v>
      </c>
      <c r="M88" s="85">
        <v>4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1328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850</v>
      </c>
      <c r="N92" s="85">
        <v>0</v>
      </c>
      <c r="O92" s="85">
        <v>248</v>
      </c>
      <c r="P92" s="85">
        <v>0</v>
      </c>
      <c r="Q92" s="85">
        <v>230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344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224</v>
      </c>
      <c r="P93" s="85">
        <v>0</v>
      </c>
      <c r="Q93" s="85">
        <v>120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393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393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496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496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1136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226</v>
      </c>
      <c r="O97" s="92"/>
      <c r="P97" s="92"/>
      <c r="Q97" s="92">
        <v>910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7258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2610</v>
      </c>
      <c r="N98" s="108">
        <v>566</v>
      </c>
      <c r="O98" s="108">
        <v>972</v>
      </c>
      <c r="P98" s="108">
        <v>0</v>
      </c>
      <c r="Q98" s="108">
        <v>3110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64</v>
      </c>
      <c r="H101" s="83">
        <v>0</v>
      </c>
      <c r="I101" s="84">
        <v>0</v>
      </c>
      <c r="J101" s="85"/>
      <c r="K101" s="85"/>
      <c r="L101" s="85">
        <v>0</v>
      </c>
      <c r="M101" s="85">
        <v>1</v>
      </c>
      <c r="N101" s="85">
        <v>0</v>
      </c>
      <c r="O101" s="85">
        <v>0</v>
      </c>
      <c r="P101" s="85">
        <v>0</v>
      </c>
      <c r="Q101" s="85">
        <v>63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139</v>
      </c>
      <c r="H102" s="83">
        <v>116</v>
      </c>
      <c r="I102" s="84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22</v>
      </c>
      <c r="O102" s="85">
        <v>1</v>
      </c>
      <c r="P102" s="85">
        <v>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287</v>
      </c>
      <c r="H105" s="83">
        <v>0</v>
      </c>
      <c r="I105" s="84">
        <v>0</v>
      </c>
      <c r="J105" s="85"/>
      <c r="K105" s="85"/>
      <c r="L105" s="85">
        <v>0</v>
      </c>
      <c r="M105" s="85">
        <v>205</v>
      </c>
      <c r="N105" s="85">
        <v>0</v>
      </c>
      <c r="O105" s="85">
        <v>82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3</v>
      </c>
      <c r="H106" s="83">
        <v>0</v>
      </c>
      <c r="I106" s="84">
        <v>0</v>
      </c>
      <c r="J106" s="85"/>
      <c r="K106" s="85"/>
      <c r="L106" s="85">
        <v>0</v>
      </c>
      <c r="M106" s="85">
        <v>3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48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48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541</v>
      </c>
      <c r="H108" s="95">
        <v>116</v>
      </c>
      <c r="I108" s="96">
        <v>0</v>
      </c>
      <c r="J108" s="97">
        <v>0</v>
      </c>
      <c r="K108" s="97">
        <v>0</v>
      </c>
      <c r="L108" s="97">
        <v>0</v>
      </c>
      <c r="M108" s="97">
        <v>209</v>
      </c>
      <c r="N108" s="97">
        <v>22</v>
      </c>
      <c r="O108" s="97">
        <v>83</v>
      </c>
      <c r="P108" s="97">
        <v>0</v>
      </c>
      <c r="Q108" s="97">
        <v>111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256318</v>
      </c>
      <c r="H110" s="116">
        <v>45133</v>
      </c>
      <c r="I110" s="117">
        <v>71123</v>
      </c>
      <c r="J110" s="118">
        <v>8639</v>
      </c>
      <c r="K110" s="118">
        <v>9302</v>
      </c>
      <c r="L110" s="118">
        <v>42681</v>
      </c>
      <c r="M110" s="118">
        <v>6910</v>
      </c>
      <c r="N110" s="118">
        <v>12385</v>
      </c>
      <c r="O110" s="118">
        <v>14717</v>
      </c>
      <c r="P110" s="118">
        <v>3966</v>
      </c>
      <c r="Q110" s="118">
        <v>14028</v>
      </c>
      <c r="R110" s="118">
        <v>20361</v>
      </c>
      <c r="S110" s="119">
        <v>7073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21580</v>
      </c>
      <c r="H111" s="121">
        <v>6927</v>
      </c>
      <c r="I111" s="122">
        <v>3686</v>
      </c>
      <c r="J111" s="123">
        <v>674</v>
      </c>
      <c r="K111" s="123">
        <v>13</v>
      </c>
      <c r="L111" s="123">
        <v>7969</v>
      </c>
      <c r="M111" s="123">
        <v>729</v>
      </c>
      <c r="N111" s="123">
        <v>224</v>
      </c>
      <c r="O111" s="123">
        <v>13</v>
      </c>
      <c r="P111" s="123">
        <v>57</v>
      </c>
      <c r="Q111" s="123">
        <v>931</v>
      </c>
      <c r="R111" s="123">
        <v>181</v>
      </c>
      <c r="S111" s="124">
        <v>176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5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834D-3BD9-4451-ADCC-8968DCF1516A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5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103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9599</v>
      </c>
      <c r="H6" s="78">
        <v>2080</v>
      </c>
      <c r="I6" s="79">
        <v>0</v>
      </c>
      <c r="J6" s="80"/>
      <c r="K6" s="80"/>
      <c r="L6" s="80">
        <v>4091</v>
      </c>
      <c r="M6" s="80">
        <v>102</v>
      </c>
      <c r="N6" s="80">
        <v>1458</v>
      </c>
      <c r="O6" s="80">
        <v>478</v>
      </c>
      <c r="P6" s="80">
        <v>507</v>
      </c>
      <c r="Q6" s="80">
        <v>883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2463</v>
      </c>
      <c r="H8" s="83">
        <v>2463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1021</v>
      </c>
      <c r="H9" s="83">
        <v>1021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12</v>
      </c>
      <c r="H10" s="83">
        <v>0</v>
      </c>
      <c r="I10" s="84">
        <v>0</v>
      </c>
      <c r="J10" s="85">
        <v>2</v>
      </c>
      <c r="K10" s="85">
        <v>0</v>
      </c>
      <c r="L10" s="85">
        <v>0</v>
      </c>
      <c r="M10" s="85">
        <v>1</v>
      </c>
      <c r="N10" s="85">
        <v>0</v>
      </c>
      <c r="O10" s="85">
        <v>1</v>
      </c>
      <c r="P10" s="85">
        <v>3</v>
      </c>
      <c r="Q10" s="85">
        <v>5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11486</v>
      </c>
      <c r="H11" s="83">
        <v>3238</v>
      </c>
      <c r="I11" s="84">
        <v>6847</v>
      </c>
      <c r="J11" s="85">
        <v>0</v>
      </c>
      <c r="K11" s="85">
        <v>0</v>
      </c>
      <c r="L11" s="85">
        <v>0</v>
      </c>
      <c r="M11" s="85">
        <v>4</v>
      </c>
      <c r="N11" s="85">
        <v>29</v>
      </c>
      <c r="O11" s="85">
        <v>1360</v>
      </c>
      <c r="P11" s="85">
        <v>8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2040</v>
      </c>
      <c r="H13" s="83">
        <v>1976</v>
      </c>
      <c r="I13" s="84">
        <v>0</v>
      </c>
      <c r="J13" s="85">
        <v>0</v>
      </c>
      <c r="K13" s="85">
        <v>0</v>
      </c>
      <c r="L13" s="85">
        <v>0</v>
      </c>
      <c r="M13" s="85">
        <v>12</v>
      </c>
      <c r="N13" s="85">
        <v>0</v>
      </c>
      <c r="O13" s="85">
        <v>52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144</v>
      </c>
      <c r="H14" s="83">
        <v>143</v>
      </c>
      <c r="I14" s="84">
        <v>0</v>
      </c>
      <c r="J14" s="85">
        <v>0</v>
      </c>
      <c r="K14" s="85">
        <v>0</v>
      </c>
      <c r="L14" s="85">
        <v>0</v>
      </c>
      <c r="M14" s="85">
        <v>1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4953</v>
      </c>
      <c r="H15" s="83">
        <v>0</v>
      </c>
      <c r="I15" s="84">
        <v>0</v>
      </c>
      <c r="J15" s="85"/>
      <c r="K15" s="85"/>
      <c r="L15" s="85">
        <v>3267</v>
      </c>
      <c r="M15" s="85">
        <v>239</v>
      </c>
      <c r="N15" s="85">
        <v>60</v>
      </c>
      <c r="O15" s="85">
        <v>340</v>
      </c>
      <c r="P15" s="85">
        <v>246</v>
      </c>
      <c r="Q15" s="85">
        <v>801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13674</v>
      </c>
      <c r="H16" s="83">
        <v>4238</v>
      </c>
      <c r="I16" s="84">
        <v>5574</v>
      </c>
      <c r="J16" s="85">
        <v>2131</v>
      </c>
      <c r="K16" s="85">
        <v>0</v>
      </c>
      <c r="L16" s="85">
        <v>0</v>
      </c>
      <c r="M16" s="85">
        <v>108</v>
      </c>
      <c r="N16" s="85">
        <v>326</v>
      </c>
      <c r="O16" s="85">
        <v>205</v>
      </c>
      <c r="P16" s="85">
        <v>0</v>
      </c>
      <c r="Q16" s="85">
        <v>1092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5741</v>
      </c>
      <c r="H17" s="83">
        <v>0</v>
      </c>
      <c r="I17" s="84">
        <v>5548</v>
      </c>
      <c r="J17" s="85">
        <v>0</v>
      </c>
      <c r="K17" s="85">
        <v>0</v>
      </c>
      <c r="L17" s="85">
        <v>0</v>
      </c>
      <c r="M17" s="85">
        <v>10</v>
      </c>
      <c r="N17" s="85">
        <v>175</v>
      </c>
      <c r="O17" s="85">
        <v>0</v>
      </c>
      <c r="P17" s="85">
        <v>0</v>
      </c>
      <c r="Q17" s="85">
        <v>8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0</v>
      </c>
      <c r="H18" s="83">
        <v>0</v>
      </c>
      <c r="I18" s="84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7286</v>
      </c>
      <c r="H19" s="83">
        <v>1037</v>
      </c>
      <c r="I19" s="84">
        <v>2087</v>
      </c>
      <c r="J19" s="85">
        <v>692</v>
      </c>
      <c r="K19" s="85">
        <v>103</v>
      </c>
      <c r="L19" s="85">
        <v>2438</v>
      </c>
      <c r="M19" s="85">
        <v>6</v>
      </c>
      <c r="N19" s="85">
        <v>207</v>
      </c>
      <c r="O19" s="85">
        <v>568</v>
      </c>
      <c r="P19" s="85">
        <v>52</v>
      </c>
      <c r="Q19" s="85">
        <v>96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1662</v>
      </c>
      <c r="H20" s="83">
        <v>25</v>
      </c>
      <c r="I20" s="84">
        <v>1037</v>
      </c>
      <c r="J20" s="85">
        <v>428</v>
      </c>
      <c r="K20" s="85">
        <v>0</v>
      </c>
      <c r="L20" s="85">
        <v>164</v>
      </c>
      <c r="M20" s="85">
        <v>2</v>
      </c>
      <c r="N20" s="85">
        <v>0</v>
      </c>
      <c r="O20" s="85">
        <v>0</v>
      </c>
      <c r="P20" s="85">
        <v>0</v>
      </c>
      <c r="Q20" s="85">
        <v>6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0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7470</v>
      </c>
      <c r="H23" s="83">
        <v>2317</v>
      </c>
      <c r="I23" s="84">
        <v>0</v>
      </c>
      <c r="J23" s="85"/>
      <c r="K23" s="85"/>
      <c r="L23" s="85">
        <v>4407</v>
      </c>
      <c r="M23" s="85">
        <v>368</v>
      </c>
      <c r="N23" s="85">
        <v>27</v>
      </c>
      <c r="O23" s="85">
        <v>0</v>
      </c>
      <c r="P23" s="85">
        <v>11</v>
      </c>
      <c r="Q23" s="85">
        <v>340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1131</v>
      </c>
      <c r="H24" s="83">
        <v>1124</v>
      </c>
      <c r="I24" s="84">
        <v>0</v>
      </c>
      <c r="J24" s="85">
        <v>0</v>
      </c>
      <c r="K24" s="85">
        <v>0</v>
      </c>
      <c r="L24" s="85">
        <v>7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0</v>
      </c>
      <c r="H25" s="83">
        <v>0</v>
      </c>
      <c r="I25" s="84">
        <v>0</v>
      </c>
      <c r="J25" s="85"/>
      <c r="K25" s="85"/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2360</v>
      </c>
      <c r="H26" s="83">
        <v>1080</v>
      </c>
      <c r="I26" s="84">
        <v>0</v>
      </c>
      <c r="J26" s="85">
        <v>0</v>
      </c>
      <c r="K26" s="85">
        <v>3</v>
      </c>
      <c r="L26" s="85">
        <v>1028</v>
      </c>
      <c r="M26" s="85">
        <v>137</v>
      </c>
      <c r="N26" s="85">
        <v>7</v>
      </c>
      <c r="O26" s="85">
        <v>16</v>
      </c>
      <c r="P26" s="85">
        <v>3</v>
      </c>
      <c r="Q26" s="85">
        <v>47</v>
      </c>
      <c r="R26" s="85">
        <v>39</v>
      </c>
      <c r="S26" s="86">
        <v>0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1291</v>
      </c>
      <c r="H27" s="83">
        <v>112</v>
      </c>
      <c r="I27" s="84">
        <v>3</v>
      </c>
      <c r="J27" s="85">
        <v>405</v>
      </c>
      <c r="K27" s="85">
        <v>0</v>
      </c>
      <c r="L27" s="85">
        <v>706</v>
      </c>
      <c r="M27" s="85">
        <v>9</v>
      </c>
      <c r="N27" s="85">
        <v>10</v>
      </c>
      <c r="O27" s="85">
        <v>7</v>
      </c>
      <c r="P27" s="85">
        <v>2</v>
      </c>
      <c r="Q27" s="85">
        <v>37</v>
      </c>
      <c r="R27" s="85">
        <v>0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20136</v>
      </c>
      <c r="H28" s="83">
        <v>5755</v>
      </c>
      <c r="I28" s="84">
        <v>8405</v>
      </c>
      <c r="J28" s="85">
        <v>2063</v>
      </c>
      <c r="K28" s="85">
        <v>603</v>
      </c>
      <c r="L28" s="85">
        <v>0</v>
      </c>
      <c r="M28" s="85">
        <v>372</v>
      </c>
      <c r="N28" s="85">
        <v>807</v>
      </c>
      <c r="O28" s="85">
        <v>20</v>
      </c>
      <c r="P28" s="85">
        <v>0</v>
      </c>
      <c r="Q28" s="85">
        <v>2111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13120</v>
      </c>
      <c r="H29" s="83">
        <v>6531</v>
      </c>
      <c r="I29" s="84">
        <v>1967</v>
      </c>
      <c r="J29" s="85">
        <v>460</v>
      </c>
      <c r="K29" s="85">
        <v>0</v>
      </c>
      <c r="L29" s="85">
        <v>787</v>
      </c>
      <c r="M29" s="85">
        <v>751</v>
      </c>
      <c r="N29" s="85">
        <v>190</v>
      </c>
      <c r="O29" s="85">
        <v>1581</v>
      </c>
      <c r="P29" s="85">
        <v>78</v>
      </c>
      <c r="Q29" s="85">
        <v>775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1</v>
      </c>
      <c r="H30" s="83">
        <v>0</v>
      </c>
      <c r="I30" s="84">
        <v>0</v>
      </c>
      <c r="J30" s="85"/>
      <c r="K30" s="85"/>
      <c r="L30" s="85">
        <v>0</v>
      </c>
      <c r="M30" s="85">
        <v>1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14835</v>
      </c>
      <c r="H31" s="83">
        <v>6031</v>
      </c>
      <c r="I31" s="84">
        <v>6522</v>
      </c>
      <c r="J31" s="85">
        <v>536</v>
      </c>
      <c r="K31" s="85">
        <v>0</v>
      </c>
      <c r="L31" s="85">
        <v>0</v>
      </c>
      <c r="M31" s="85">
        <v>14</v>
      </c>
      <c r="N31" s="85">
        <v>169</v>
      </c>
      <c r="O31" s="85">
        <v>292</v>
      </c>
      <c r="P31" s="85">
        <v>46</v>
      </c>
      <c r="Q31" s="85">
        <v>1225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1890</v>
      </c>
      <c r="H32" s="83">
        <v>887</v>
      </c>
      <c r="I32" s="84">
        <v>0</v>
      </c>
      <c r="J32" s="85"/>
      <c r="K32" s="85"/>
      <c r="L32" s="85">
        <v>0</v>
      </c>
      <c r="M32" s="85">
        <v>0</v>
      </c>
      <c r="N32" s="85">
        <v>51</v>
      </c>
      <c r="O32" s="85">
        <v>40</v>
      </c>
      <c r="P32" s="85">
        <v>0</v>
      </c>
      <c r="Q32" s="85">
        <v>912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6075</v>
      </c>
      <c r="H33" s="83">
        <v>2524</v>
      </c>
      <c r="I33" s="84">
        <v>0</v>
      </c>
      <c r="J33" s="85"/>
      <c r="K33" s="85"/>
      <c r="L33" s="85">
        <v>0</v>
      </c>
      <c r="M33" s="85">
        <v>37</v>
      </c>
      <c r="N33" s="85">
        <v>1112</v>
      </c>
      <c r="O33" s="85">
        <v>1988</v>
      </c>
      <c r="P33" s="85">
        <v>148</v>
      </c>
      <c r="Q33" s="85">
        <v>266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644</v>
      </c>
      <c r="H34" s="83">
        <v>644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114</v>
      </c>
      <c r="H35" s="83">
        <v>114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163</v>
      </c>
      <c r="H36" s="90">
        <v>161</v>
      </c>
      <c r="I36" s="91">
        <v>0</v>
      </c>
      <c r="J36" s="92"/>
      <c r="K36" s="92"/>
      <c r="L36" s="92">
        <v>2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129311</v>
      </c>
      <c r="H37" s="95">
        <v>43501</v>
      </c>
      <c r="I37" s="96">
        <v>37990</v>
      </c>
      <c r="J37" s="97">
        <v>6717</v>
      </c>
      <c r="K37" s="97">
        <v>709</v>
      </c>
      <c r="L37" s="97">
        <v>16897</v>
      </c>
      <c r="M37" s="97">
        <v>2174</v>
      </c>
      <c r="N37" s="97">
        <v>4628</v>
      </c>
      <c r="O37" s="97">
        <v>6948</v>
      </c>
      <c r="P37" s="97">
        <v>1104</v>
      </c>
      <c r="Q37" s="97">
        <v>8604</v>
      </c>
      <c r="R37" s="97">
        <v>39</v>
      </c>
      <c r="S37" s="98">
        <v>0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9730</v>
      </c>
      <c r="H39" s="83">
        <v>0</v>
      </c>
      <c r="I39" s="84">
        <v>9618</v>
      </c>
      <c r="J39" s="85">
        <v>0</v>
      </c>
      <c r="K39" s="85">
        <v>0</v>
      </c>
      <c r="L39" s="85">
        <v>0</v>
      </c>
      <c r="M39" s="85">
        <v>0</v>
      </c>
      <c r="N39" s="85">
        <v>112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7009</v>
      </c>
      <c r="H40" s="83">
        <v>0</v>
      </c>
      <c r="I40" s="84">
        <v>6659</v>
      </c>
      <c r="J40" s="85">
        <v>180</v>
      </c>
      <c r="K40" s="85">
        <v>122</v>
      </c>
      <c r="L40" s="85">
        <v>0</v>
      </c>
      <c r="M40" s="85">
        <v>0</v>
      </c>
      <c r="N40" s="85">
        <v>47</v>
      </c>
      <c r="O40" s="85">
        <v>0</v>
      </c>
      <c r="P40" s="85">
        <v>0</v>
      </c>
      <c r="Q40" s="85">
        <v>1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12359</v>
      </c>
      <c r="H41" s="83">
        <v>0</v>
      </c>
      <c r="I41" s="84">
        <v>12177</v>
      </c>
      <c r="J41" s="85">
        <v>94</v>
      </c>
      <c r="K41" s="85">
        <v>20</v>
      </c>
      <c r="L41" s="85">
        <v>0</v>
      </c>
      <c r="M41" s="85">
        <v>0</v>
      </c>
      <c r="N41" s="85">
        <v>15</v>
      </c>
      <c r="O41" s="85">
        <v>50</v>
      </c>
      <c r="P41" s="85">
        <v>0</v>
      </c>
      <c r="Q41" s="85">
        <v>3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1881</v>
      </c>
      <c r="H42" s="83">
        <v>0</v>
      </c>
      <c r="I42" s="84">
        <v>1796</v>
      </c>
      <c r="J42" s="85">
        <v>85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2676</v>
      </c>
      <c r="H43" s="90">
        <v>0</v>
      </c>
      <c r="I43" s="91">
        <v>2676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33655</v>
      </c>
      <c r="H44" s="95">
        <v>0</v>
      </c>
      <c r="I44" s="96">
        <v>32926</v>
      </c>
      <c r="J44" s="97">
        <v>359</v>
      </c>
      <c r="K44" s="97">
        <v>142</v>
      </c>
      <c r="L44" s="97">
        <v>0</v>
      </c>
      <c r="M44" s="97">
        <v>0</v>
      </c>
      <c r="N44" s="97">
        <v>174</v>
      </c>
      <c r="O44" s="97">
        <v>50</v>
      </c>
      <c r="P44" s="97">
        <v>0</v>
      </c>
      <c r="Q44" s="97">
        <v>4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56</v>
      </c>
      <c r="H46" s="83">
        <v>0</v>
      </c>
      <c r="I46" s="84">
        <v>0</v>
      </c>
      <c r="J46" s="85"/>
      <c r="K46" s="85"/>
      <c r="L46" s="85">
        <v>56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4258</v>
      </c>
      <c r="H47" s="83">
        <v>0</v>
      </c>
      <c r="I47" s="84">
        <v>0</v>
      </c>
      <c r="J47" s="85">
        <v>0</v>
      </c>
      <c r="K47" s="85">
        <v>0</v>
      </c>
      <c r="L47" s="85">
        <v>4060</v>
      </c>
      <c r="M47" s="85">
        <v>157</v>
      </c>
      <c r="N47" s="85">
        <v>3</v>
      </c>
      <c r="O47" s="85">
        <v>0</v>
      </c>
      <c r="P47" s="85">
        <v>9</v>
      </c>
      <c r="Q47" s="85">
        <v>29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1845</v>
      </c>
      <c r="H48" s="83">
        <v>0</v>
      </c>
      <c r="I48" s="84">
        <v>0</v>
      </c>
      <c r="J48" s="85">
        <v>0</v>
      </c>
      <c r="K48" s="85">
        <v>0</v>
      </c>
      <c r="L48" s="85">
        <v>1411</v>
      </c>
      <c r="M48" s="85">
        <v>410</v>
      </c>
      <c r="N48" s="85">
        <v>5</v>
      </c>
      <c r="O48" s="85">
        <v>0</v>
      </c>
      <c r="P48" s="85">
        <v>19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12286</v>
      </c>
      <c r="H49" s="90">
        <v>0</v>
      </c>
      <c r="I49" s="91">
        <v>0</v>
      </c>
      <c r="J49" s="92">
        <v>0</v>
      </c>
      <c r="K49" s="92">
        <v>0</v>
      </c>
      <c r="L49" s="92">
        <v>9115</v>
      </c>
      <c r="M49" s="92">
        <v>658</v>
      </c>
      <c r="N49" s="92">
        <v>291</v>
      </c>
      <c r="O49" s="92">
        <v>1336</v>
      </c>
      <c r="P49" s="92">
        <v>886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18445</v>
      </c>
      <c r="H50" s="95">
        <v>0</v>
      </c>
      <c r="I50" s="96">
        <v>0</v>
      </c>
      <c r="J50" s="97">
        <v>0</v>
      </c>
      <c r="K50" s="97">
        <v>0</v>
      </c>
      <c r="L50" s="97">
        <v>14642</v>
      </c>
      <c r="M50" s="97">
        <v>1225</v>
      </c>
      <c r="N50" s="97">
        <v>299</v>
      </c>
      <c r="O50" s="97">
        <v>1336</v>
      </c>
      <c r="P50" s="97">
        <v>914</v>
      </c>
      <c r="Q50" s="97">
        <v>29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7473</v>
      </c>
      <c r="H52" s="83">
        <v>0</v>
      </c>
      <c r="I52" s="84">
        <v>0</v>
      </c>
      <c r="J52" s="85">
        <v>0</v>
      </c>
      <c r="K52" s="85">
        <v>5065</v>
      </c>
      <c r="L52" s="85">
        <v>0</v>
      </c>
      <c r="M52" s="85">
        <v>0</v>
      </c>
      <c r="N52" s="85">
        <v>1801</v>
      </c>
      <c r="O52" s="85">
        <v>606</v>
      </c>
      <c r="P52" s="85">
        <v>1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15576</v>
      </c>
      <c r="H53" s="90">
        <v>0</v>
      </c>
      <c r="I53" s="91">
        <v>12091</v>
      </c>
      <c r="J53" s="92">
        <v>1045</v>
      </c>
      <c r="K53" s="92">
        <v>1134</v>
      </c>
      <c r="L53" s="92">
        <v>0</v>
      </c>
      <c r="M53" s="92">
        <v>0</v>
      </c>
      <c r="N53" s="92">
        <v>54</v>
      </c>
      <c r="O53" s="92">
        <v>634</v>
      </c>
      <c r="P53" s="92">
        <v>82</v>
      </c>
      <c r="Q53" s="92">
        <v>536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23049</v>
      </c>
      <c r="H54" s="95">
        <v>0</v>
      </c>
      <c r="I54" s="96">
        <v>12091</v>
      </c>
      <c r="J54" s="97">
        <v>1045</v>
      </c>
      <c r="K54" s="97">
        <v>6199</v>
      </c>
      <c r="L54" s="97">
        <v>0</v>
      </c>
      <c r="M54" s="97">
        <v>0</v>
      </c>
      <c r="N54" s="97">
        <v>1855</v>
      </c>
      <c r="O54" s="97">
        <v>1240</v>
      </c>
      <c r="P54" s="97">
        <v>83</v>
      </c>
      <c r="Q54" s="97">
        <v>536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/>
      <c r="K55" s="102"/>
      <c r="L55" s="102">
        <v>0</v>
      </c>
      <c r="M55" s="102">
        <v>0</v>
      </c>
      <c r="N55" s="102">
        <v>0</v>
      </c>
      <c r="O55" s="102"/>
      <c r="P55" s="102"/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5809</v>
      </c>
      <c r="H57" s="83">
        <v>0</v>
      </c>
      <c r="I57" s="84">
        <v>0</v>
      </c>
      <c r="J57" s="85"/>
      <c r="K57" s="85"/>
      <c r="L57" s="85">
        <v>0</v>
      </c>
      <c r="M57" s="85">
        <v>3</v>
      </c>
      <c r="N57" s="85">
        <v>2447</v>
      </c>
      <c r="O57" s="85">
        <v>2915</v>
      </c>
      <c r="P57" s="85">
        <v>293</v>
      </c>
      <c r="Q57" s="85">
        <v>116</v>
      </c>
      <c r="R57" s="85">
        <v>0</v>
      </c>
      <c r="S57" s="87">
        <v>35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477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477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549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549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380</v>
      </c>
      <c r="H60" s="83">
        <v>0</v>
      </c>
      <c r="I60" s="84">
        <v>0</v>
      </c>
      <c r="J60" s="85"/>
      <c r="K60" s="85"/>
      <c r="L60" s="85">
        <v>0</v>
      </c>
      <c r="M60" s="85">
        <v>298</v>
      </c>
      <c r="N60" s="85">
        <v>0</v>
      </c>
      <c r="O60" s="85"/>
      <c r="P60" s="85"/>
      <c r="Q60" s="85">
        <v>0</v>
      </c>
      <c r="R60" s="85">
        <v>0</v>
      </c>
      <c r="S60" s="87">
        <v>82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2054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2054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3567</v>
      </c>
      <c r="H62" s="83">
        <v>0</v>
      </c>
      <c r="I62" s="84">
        <v>0</v>
      </c>
      <c r="J62" s="85">
        <v>0</v>
      </c>
      <c r="K62" s="85">
        <v>1279</v>
      </c>
      <c r="L62" s="85">
        <v>0</v>
      </c>
      <c r="M62" s="85">
        <v>3</v>
      </c>
      <c r="N62" s="85">
        <v>1308</v>
      </c>
      <c r="O62" s="85">
        <v>331</v>
      </c>
      <c r="P62" s="85">
        <v>137</v>
      </c>
      <c r="Q62" s="85">
        <v>475</v>
      </c>
      <c r="R62" s="85">
        <v>0</v>
      </c>
      <c r="S62" s="87">
        <v>34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5001</v>
      </c>
      <c r="H63" s="83">
        <v>0</v>
      </c>
      <c r="I63" s="84">
        <v>0</v>
      </c>
      <c r="J63" s="85">
        <v>0</v>
      </c>
      <c r="K63" s="85">
        <v>1272</v>
      </c>
      <c r="L63" s="85">
        <v>0</v>
      </c>
      <c r="M63" s="85">
        <v>0</v>
      </c>
      <c r="N63" s="85">
        <v>953</v>
      </c>
      <c r="O63" s="85">
        <v>946</v>
      </c>
      <c r="P63" s="85">
        <v>184</v>
      </c>
      <c r="Q63" s="85">
        <v>44</v>
      </c>
      <c r="R63" s="85">
        <v>0</v>
      </c>
      <c r="S63" s="87">
        <v>1602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225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225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2441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903</v>
      </c>
      <c r="P65" s="85">
        <v>0</v>
      </c>
      <c r="Q65" s="85">
        <v>0</v>
      </c>
      <c r="R65" s="85">
        <v>0</v>
      </c>
      <c r="S65" s="87">
        <v>1538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73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73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756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124</v>
      </c>
      <c r="O67" s="92">
        <v>1</v>
      </c>
      <c r="P67" s="92">
        <v>2</v>
      </c>
      <c r="Q67" s="92">
        <v>418</v>
      </c>
      <c r="R67" s="92">
        <v>0</v>
      </c>
      <c r="S67" s="104">
        <v>211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21332</v>
      </c>
      <c r="H68" s="106">
        <v>0</v>
      </c>
      <c r="I68" s="107">
        <v>0</v>
      </c>
      <c r="J68" s="108">
        <v>0</v>
      </c>
      <c r="K68" s="108">
        <v>2551</v>
      </c>
      <c r="L68" s="108">
        <v>0</v>
      </c>
      <c r="M68" s="108">
        <v>304</v>
      </c>
      <c r="N68" s="108">
        <v>4832</v>
      </c>
      <c r="O68" s="108">
        <v>5096</v>
      </c>
      <c r="P68" s="108">
        <v>616</v>
      </c>
      <c r="Q68" s="108">
        <v>1053</v>
      </c>
      <c r="R68" s="108">
        <v>0</v>
      </c>
      <c r="S68" s="109">
        <v>6880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987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987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7685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46</v>
      </c>
      <c r="O70" s="85">
        <v>0</v>
      </c>
      <c r="P70" s="85">
        <v>1055</v>
      </c>
      <c r="Q70" s="85">
        <v>208</v>
      </c>
      <c r="R70" s="85">
        <v>6376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5249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142</v>
      </c>
      <c r="O71" s="85">
        <v>0</v>
      </c>
      <c r="P71" s="85">
        <v>141</v>
      </c>
      <c r="Q71" s="85">
        <v>72</v>
      </c>
      <c r="R71" s="85">
        <v>4894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6158</v>
      </c>
      <c r="H72" s="83">
        <v>0</v>
      </c>
      <c r="I72" s="84">
        <v>0</v>
      </c>
      <c r="J72" s="85"/>
      <c r="K72" s="85"/>
      <c r="L72" s="85">
        <v>0</v>
      </c>
      <c r="M72" s="85">
        <v>56</v>
      </c>
      <c r="N72" s="85">
        <v>242</v>
      </c>
      <c r="O72" s="85">
        <v>351</v>
      </c>
      <c r="P72" s="85">
        <v>15</v>
      </c>
      <c r="Q72" s="85">
        <v>103</v>
      </c>
      <c r="R72" s="85">
        <v>5391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695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695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85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85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20859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56</v>
      </c>
      <c r="N75" s="108">
        <v>430</v>
      </c>
      <c r="O75" s="108">
        <v>351</v>
      </c>
      <c r="P75" s="108">
        <v>1211</v>
      </c>
      <c r="Q75" s="108">
        <v>383</v>
      </c>
      <c r="R75" s="108">
        <v>18428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9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9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9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9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113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109</v>
      </c>
      <c r="P79" s="80">
        <v>0</v>
      </c>
      <c r="Q79" s="80">
        <v>4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10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10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366</v>
      </c>
      <c r="H81" s="83">
        <v>0</v>
      </c>
      <c r="I81" s="84">
        <v>0</v>
      </c>
      <c r="J81" s="85"/>
      <c r="K81" s="85"/>
      <c r="L81" s="85">
        <v>0</v>
      </c>
      <c r="M81" s="85">
        <v>266</v>
      </c>
      <c r="N81" s="85">
        <v>0</v>
      </c>
      <c r="O81" s="85"/>
      <c r="P81" s="85"/>
      <c r="Q81" s="85">
        <v>100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21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21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2403</v>
      </c>
      <c r="H85" s="83">
        <v>0</v>
      </c>
      <c r="I85" s="84">
        <v>0</v>
      </c>
      <c r="J85" s="85"/>
      <c r="K85" s="85"/>
      <c r="L85" s="85">
        <v>0</v>
      </c>
      <c r="M85" s="85">
        <v>1610</v>
      </c>
      <c r="N85" s="85">
        <v>340</v>
      </c>
      <c r="O85" s="85"/>
      <c r="P85" s="85"/>
      <c r="Q85" s="85">
        <v>453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139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139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401</v>
      </c>
      <c r="H87" s="83">
        <v>0</v>
      </c>
      <c r="I87" s="84">
        <v>0</v>
      </c>
      <c r="J87" s="85"/>
      <c r="K87" s="85"/>
      <c r="L87" s="85">
        <v>0</v>
      </c>
      <c r="M87" s="85">
        <v>5</v>
      </c>
      <c r="N87" s="85">
        <v>0</v>
      </c>
      <c r="O87" s="85"/>
      <c r="P87" s="85"/>
      <c r="Q87" s="85">
        <v>396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53</v>
      </c>
      <c r="H88" s="83">
        <v>0</v>
      </c>
      <c r="I88" s="84">
        <v>0</v>
      </c>
      <c r="J88" s="85"/>
      <c r="K88" s="85"/>
      <c r="L88" s="85">
        <v>0</v>
      </c>
      <c r="M88" s="85">
        <v>53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1110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786</v>
      </c>
      <c r="N92" s="85">
        <v>0</v>
      </c>
      <c r="O92" s="85">
        <v>187</v>
      </c>
      <c r="P92" s="85">
        <v>0</v>
      </c>
      <c r="Q92" s="85">
        <v>137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314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226</v>
      </c>
      <c r="P93" s="85">
        <v>0</v>
      </c>
      <c r="Q93" s="85">
        <v>88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223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223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385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385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1234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255</v>
      </c>
      <c r="O97" s="92"/>
      <c r="P97" s="92"/>
      <c r="Q97" s="92">
        <v>979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6772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2720</v>
      </c>
      <c r="N98" s="108">
        <v>595</v>
      </c>
      <c r="O98" s="108">
        <v>661</v>
      </c>
      <c r="P98" s="108">
        <v>0</v>
      </c>
      <c r="Q98" s="108">
        <v>2796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1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1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69</v>
      </c>
      <c r="H101" s="83">
        <v>0</v>
      </c>
      <c r="I101" s="84">
        <v>0</v>
      </c>
      <c r="J101" s="85"/>
      <c r="K101" s="85"/>
      <c r="L101" s="85">
        <v>0</v>
      </c>
      <c r="M101" s="85">
        <v>2</v>
      </c>
      <c r="N101" s="85">
        <v>0</v>
      </c>
      <c r="O101" s="85">
        <v>0</v>
      </c>
      <c r="P101" s="85">
        <v>0</v>
      </c>
      <c r="Q101" s="85">
        <v>67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174</v>
      </c>
      <c r="H102" s="83">
        <v>174</v>
      </c>
      <c r="I102" s="84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298</v>
      </c>
      <c r="H105" s="83">
        <v>0</v>
      </c>
      <c r="I105" s="84">
        <v>0</v>
      </c>
      <c r="J105" s="85"/>
      <c r="K105" s="85"/>
      <c r="L105" s="85">
        <v>0</v>
      </c>
      <c r="M105" s="85">
        <v>275</v>
      </c>
      <c r="N105" s="85">
        <v>0</v>
      </c>
      <c r="O105" s="85">
        <v>23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10</v>
      </c>
      <c r="H106" s="83">
        <v>0</v>
      </c>
      <c r="I106" s="84">
        <v>0</v>
      </c>
      <c r="J106" s="85"/>
      <c r="K106" s="85"/>
      <c r="L106" s="85">
        <v>0</v>
      </c>
      <c r="M106" s="85">
        <v>0</v>
      </c>
      <c r="N106" s="85">
        <v>0</v>
      </c>
      <c r="O106" s="85">
        <v>10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57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57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609</v>
      </c>
      <c r="H108" s="95">
        <v>174</v>
      </c>
      <c r="I108" s="96">
        <v>0</v>
      </c>
      <c r="J108" s="97">
        <v>0</v>
      </c>
      <c r="K108" s="97">
        <v>0</v>
      </c>
      <c r="L108" s="97">
        <v>0</v>
      </c>
      <c r="M108" s="97">
        <v>277</v>
      </c>
      <c r="N108" s="97">
        <v>0</v>
      </c>
      <c r="O108" s="97">
        <v>34</v>
      </c>
      <c r="P108" s="97">
        <v>0</v>
      </c>
      <c r="Q108" s="97">
        <v>124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254041</v>
      </c>
      <c r="H110" s="116">
        <v>43675</v>
      </c>
      <c r="I110" s="117">
        <v>83007</v>
      </c>
      <c r="J110" s="118">
        <v>8121</v>
      </c>
      <c r="K110" s="118">
        <v>9601</v>
      </c>
      <c r="L110" s="118">
        <v>31539</v>
      </c>
      <c r="M110" s="118">
        <v>6756</v>
      </c>
      <c r="N110" s="118">
        <v>12813</v>
      </c>
      <c r="O110" s="118">
        <v>15716</v>
      </c>
      <c r="P110" s="118">
        <v>3928</v>
      </c>
      <c r="Q110" s="118">
        <v>13538</v>
      </c>
      <c r="R110" s="118">
        <v>18467</v>
      </c>
      <c r="S110" s="119">
        <v>6880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21815</v>
      </c>
      <c r="H111" s="121">
        <v>6484</v>
      </c>
      <c r="I111" s="122">
        <v>5512</v>
      </c>
      <c r="J111" s="123">
        <v>918</v>
      </c>
      <c r="K111" s="123">
        <v>3</v>
      </c>
      <c r="L111" s="123">
        <v>6370</v>
      </c>
      <c r="M111" s="123">
        <v>516</v>
      </c>
      <c r="N111" s="123">
        <v>168</v>
      </c>
      <c r="O111" s="123">
        <v>24</v>
      </c>
      <c r="P111" s="123">
        <v>18</v>
      </c>
      <c r="Q111" s="123">
        <v>857</v>
      </c>
      <c r="R111" s="123">
        <v>734</v>
      </c>
      <c r="S111" s="124">
        <v>211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4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25B5-D233-4223-9362-631E013CBC91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5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104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108</v>
      </c>
      <c r="H4" s="48" t="s">
        <v>109</v>
      </c>
      <c r="I4" s="65" t="s">
        <v>0</v>
      </c>
      <c r="J4" s="49" t="s">
        <v>110</v>
      </c>
      <c r="K4" s="49" t="s">
        <v>111</v>
      </c>
      <c r="L4" s="49" t="s">
        <v>112</v>
      </c>
      <c r="M4" s="50" t="s">
        <v>113</v>
      </c>
      <c r="N4" s="50" t="s">
        <v>114</v>
      </c>
      <c r="O4" s="50" t="s">
        <v>115</v>
      </c>
      <c r="P4" s="49" t="s">
        <v>116</v>
      </c>
      <c r="Q4" s="50" t="s">
        <v>117</v>
      </c>
      <c r="R4" s="50" t="s">
        <v>118</v>
      </c>
      <c r="S4" s="63" t="s">
        <v>119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12932</v>
      </c>
      <c r="H6" s="78">
        <v>1805</v>
      </c>
      <c r="I6" s="79">
        <v>0</v>
      </c>
      <c r="J6" s="80">
        <v>0</v>
      </c>
      <c r="K6" s="80">
        <v>0</v>
      </c>
      <c r="L6" s="80">
        <v>6182</v>
      </c>
      <c r="M6" s="80">
        <v>167</v>
      </c>
      <c r="N6" s="80">
        <v>1868</v>
      </c>
      <c r="O6" s="80">
        <v>961</v>
      </c>
      <c r="P6" s="80">
        <v>1162</v>
      </c>
      <c r="Q6" s="80">
        <v>787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>
        <v>0</v>
      </c>
      <c r="K7" s="85">
        <v>0</v>
      </c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2962</v>
      </c>
      <c r="H8" s="83">
        <v>2962</v>
      </c>
      <c r="I8" s="84">
        <v>0</v>
      </c>
      <c r="J8" s="85">
        <v>0</v>
      </c>
      <c r="K8" s="85">
        <v>0</v>
      </c>
      <c r="L8" s="85">
        <v>0</v>
      </c>
      <c r="M8" s="85">
        <v>0</v>
      </c>
      <c r="N8" s="85">
        <v>0</v>
      </c>
      <c r="O8" s="85">
        <v>0</v>
      </c>
      <c r="P8" s="85">
        <v>0</v>
      </c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1041</v>
      </c>
      <c r="H9" s="83">
        <v>1041</v>
      </c>
      <c r="I9" s="84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6</v>
      </c>
      <c r="H10" s="83">
        <v>0</v>
      </c>
      <c r="I10" s="84">
        <v>0</v>
      </c>
      <c r="J10" s="85">
        <v>6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9247</v>
      </c>
      <c r="H11" s="83">
        <v>3127</v>
      </c>
      <c r="I11" s="84">
        <v>5290</v>
      </c>
      <c r="J11" s="85">
        <v>0</v>
      </c>
      <c r="K11" s="85">
        <v>0</v>
      </c>
      <c r="L11" s="85">
        <v>23</v>
      </c>
      <c r="M11" s="85">
        <v>2</v>
      </c>
      <c r="N11" s="85">
        <v>5</v>
      </c>
      <c r="O11" s="85">
        <v>800</v>
      </c>
      <c r="P11" s="85">
        <v>0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2251</v>
      </c>
      <c r="H13" s="83">
        <v>2159</v>
      </c>
      <c r="I13" s="84">
        <v>0</v>
      </c>
      <c r="J13" s="85">
        <v>0</v>
      </c>
      <c r="K13" s="85">
        <v>0</v>
      </c>
      <c r="L13" s="85">
        <v>0</v>
      </c>
      <c r="M13" s="85">
        <v>10</v>
      </c>
      <c r="N13" s="85">
        <v>0</v>
      </c>
      <c r="O13" s="85">
        <v>82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109</v>
      </c>
      <c r="H14" s="83">
        <v>109</v>
      </c>
      <c r="I14" s="84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6935</v>
      </c>
      <c r="H15" s="83">
        <v>0</v>
      </c>
      <c r="I15" s="84">
        <v>0</v>
      </c>
      <c r="J15" s="85">
        <v>0</v>
      </c>
      <c r="K15" s="85">
        <v>0</v>
      </c>
      <c r="L15" s="85">
        <v>4925</v>
      </c>
      <c r="M15" s="85">
        <v>228</v>
      </c>
      <c r="N15" s="85">
        <v>175</v>
      </c>
      <c r="O15" s="85">
        <v>290</v>
      </c>
      <c r="P15" s="85">
        <v>390</v>
      </c>
      <c r="Q15" s="85">
        <v>927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13603</v>
      </c>
      <c r="H16" s="83">
        <v>4965</v>
      </c>
      <c r="I16" s="84">
        <v>4635</v>
      </c>
      <c r="J16" s="85">
        <v>2030</v>
      </c>
      <c r="K16" s="85">
        <v>0</v>
      </c>
      <c r="L16" s="85">
        <v>0</v>
      </c>
      <c r="M16" s="85">
        <v>209</v>
      </c>
      <c r="N16" s="85">
        <v>327</v>
      </c>
      <c r="O16" s="85">
        <v>286</v>
      </c>
      <c r="P16" s="85">
        <v>0</v>
      </c>
      <c r="Q16" s="85">
        <v>1151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4280</v>
      </c>
      <c r="H17" s="83">
        <v>0</v>
      </c>
      <c r="I17" s="84">
        <v>4069</v>
      </c>
      <c r="J17" s="85">
        <v>3</v>
      </c>
      <c r="K17" s="85">
        <v>0</v>
      </c>
      <c r="L17" s="85">
        <v>0</v>
      </c>
      <c r="M17" s="85">
        <v>55</v>
      </c>
      <c r="N17" s="85">
        <v>149</v>
      </c>
      <c r="O17" s="85">
        <v>0</v>
      </c>
      <c r="P17" s="85">
        <v>0</v>
      </c>
      <c r="Q17" s="85">
        <v>4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0</v>
      </c>
      <c r="H18" s="83">
        <v>0</v>
      </c>
      <c r="I18" s="84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8236</v>
      </c>
      <c r="H19" s="83">
        <v>1025</v>
      </c>
      <c r="I19" s="84">
        <v>1439</v>
      </c>
      <c r="J19" s="85">
        <v>677</v>
      </c>
      <c r="K19" s="85">
        <v>93</v>
      </c>
      <c r="L19" s="85">
        <v>4105</v>
      </c>
      <c r="M19" s="85">
        <v>0</v>
      </c>
      <c r="N19" s="85">
        <v>426</v>
      </c>
      <c r="O19" s="85">
        <v>333</v>
      </c>
      <c r="P19" s="85">
        <v>45</v>
      </c>
      <c r="Q19" s="85">
        <v>93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1621</v>
      </c>
      <c r="H20" s="83">
        <v>23</v>
      </c>
      <c r="I20" s="84">
        <v>1007</v>
      </c>
      <c r="J20" s="85">
        <v>373</v>
      </c>
      <c r="K20" s="85">
        <v>0</v>
      </c>
      <c r="L20" s="85">
        <v>210</v>
      </c>
      <c r="M20" s="85">
        <v>2</v>
      </c>
      <c r="N20" s="85">
        <v>0</v>
      </c>
      <c r="O20" s="85">
        <v>0</v>
      </c>
      <c r="P20" s="85">
        <v>0</v>
      </c>
      <c r="Q20" s="85">
        <v>6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1</v>
      </c>
      <c r="H21" s="83">
        <v>0</v>
      </c>
      <c r="I21" s="84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1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9287</v>
      </c>
      <c r="H23" s="83">
        <v>1927</v>
      </c>
      <c r="I23" s="84">
        <v>0</v>
      </c>
      <c r="J23" s="85">
        <v>0</v>
      </c>
      <c r="K23" s="85">
        <v>0</v>
      </c>
      <c r="L23" s="85">
        <v>6081</v>
      </c>
      <c r="M23" s="85">
        <v>690</v>
      </c>
      <c r="N23" s="85">
        <v>55</v>
      </c>
      <c r="O23" s="85">
        <v>230</v>
      </c>
      <c r="P23" s="85">
        <v>20</v>
      </c>
      <c r="Q23" s="85">
        <v>284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1358</v>
      </c>
      <c r="H24" s="83">
        <v>1151</v>
      </c>
      <c r="I24" s="84">
        <v>0</v>
      </c>
      <c r="J24" s="85">
        <v>0</v>
      </c>
      <c r="K24" s="85">
        <v>0</v>
      </c>
      <c r="L24" s="85">
        <v>199</v>
      </c>
      <c r="M24" s="85">
        <v>0</v>
      </c>
      <c r="N24" s="85">
        <v>0</v>
      </c>
      <c r="O24" s="85">
        <v>0</v>
      </c>
      <c r="P24" s="85">
        <v>0</v>
      </c>
      <c r="Q24" s="85">
        <v>8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272</v>
      </c>
      <c r="H25" s="83">
        <v>272</v>
      </c>
      <c r="I25" s="84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3098</v>
      </c>
      <c r="H26" s="83">
        <v>1322</v>
      </c>
      <c r="I26" s="84">
        <v>24</v>
      </c>
      <c r="J26" s="85">
        <v>0</v>
      </c>
      <c r="K26" s="85">
        <v>4</v>
      </c>
      <c r="L26" s="85">
        <v>1508</v>
      </c>
      <c r="M26" s="85">
        <v>130</v>
      </c>
      <c r="N26" s="85">
        <v>5</v>
      </c>
      <c r="O26" s="85">
        <v>9</v>
      </c>
      <c r="P26" s="85">
        <v>5</v>
      </c>
      <c r="Q26" s="85">
        <v>49</v>
      </c>
      <c r="R26" s="85">
        <v>42</v>
      </c>
      <c r="S26" s="86">
        <v>0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1365</v>
      </c>
      <c r="H27" s="83">
        <v>147</v>
      </c>
      <c r="I27" s="84">
        <v>2</v>
      </c>
      <c r="J27" s="85">
        <v>463</v>
      </c>
      <c r="K27" s="85">
        <v>0</v>
      </c>
      <c r="L27" s="85">
        <v>697</v>
      </c>
      <c r="M27" s="85">
        <v>9</v>
      </c>
      <c r="N27" s="85">
        <v>6</v>
      </c>
      <c r="O27" s="85">
        <v>12</v>
      </c>
      <c r="P27" s="85">
        <v>1</v>
      </c>
      <c r="Q27" s="85">
        <v>28</v>
      </c>
      <c r="R27" s="85">
        <v>0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17967</v>
      </c>
      <c r="H28" s="83">
        <v>6416</v>
      </c>
      <c r="I28" s="84">
        <v>6567</v>
      </c>
      <c r="J28" s="85">
        <v>1640</v>
      </c>
      <c r="K28" s="85">
        <v>470</v>
      </c>
      <c r="L28" s="85">
        <v>0</v>
      </c>
      <c r="M28" s="85">
        <v>415</v>
      </c>
      <c r="N28" s="85">
        <v>596</v>
      </c>
      <c r="O28" s="85">
        <v>16</v>
      </c>
      <c r="P28" s="85">
        <v>0</v>
      </c>
      <c r="Q28" s="85">
        <v>1847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15249</v>
      </c>
      <c r="H29" s="83">
        <v>8978</v>
      </c>
      <c r="I29" s="84">
        <v>1499</v>
      </c>
      <c r="J29" s="85">
        <v>449</v>
      </c>
      <c r="K29" s="85">
        <v>0</v>
      </c>
      <c r="L29" s="85">
        <v>923</v>
      </c>
      <c r="M29" s="85">
        <v>357</v>
      </c>
      <c r="N29" s="85">
        <v>218</v>
      </c>
      <c r="O29" s="85">
        <v>1979</v>
      </c>
      <c r="P29" s="85">
        <v>42</v>
      </c>
      <c r="Q29" s="85">
        <v>804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1</v>
      </c>
      <c r="H30" s="83">
        <v>0</v>
      </c>
      <c r="I30" s="84">
        <v>0</v>
      </c>
      <c r="J30" s="85">
        <v>0</v>
      </c>
      <c r="K30" s="85">
        <v>0</v>
      </c>
      <c r="L30" s="85">
        <v>0</v>
      </c>
      <c r="M30" s="85">
        <v>1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14331</v>
      </c>
      <c r="H31" s="83">
        <v>6758</v>
      </c>
      <c r="I31" s="84">
        <v>5603</v>
      </c>
      <c r="J31" s="85">
        <v>441</v>
      </c>
      <c r="K31" s="85">
        <v>0</v>
      </c>
      <c r="L31" s="85">
        <v>0</v>
      </c>
      <c r="M31" s="85">
        <v>22</v>
      </c>
      <c r="N31" s="85">
        <v>114</v>
      </c>
      <c r="O31" s="85">
        <v>347</v>
      </c>
      <c r="P31" s="85">
        <v>32</v>
      </c>
      <c r="Q31" s="85">
        <v>1014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1901</v>
      </c>
      <c r="H32" s="83">
        <v>777</v>
      </c>
      <c r="I32" s="84">
        <v>0</v>
      </c>
      <c r="J32" s="85">
        <v>0</v>
      </c>
      <c r="K32" s="85">
        <v>0</v>
      </c>
      <c r="L32" s="85">
        <v>0</v>
      </c>
      <c r="M32" s="85">
        <v>0</v>
      </c>
      <c r="N32" s="85">
        <v>118</v>
      </c>
      <c r="O32" s="85">
        <v>119</v>
      </c>
      <c r="P32" s="85">
        <v>4</v>
      </c>
      <c r="Q32" s="85">
        <v>883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5538</v>
      </c>
      <c r="H33" s="83">
        <v>2728</v>
      </c>
      <c r="I33" s="84">
        <v>0</v>
      </c>
      <c r="J33" s="85">
        <v>0</v>
      </c>
      <c r="K33" s="85">
        <v>0</v>
      </c>
      <c r="L33" s="85">
        <v>0</v>
      </c>
      <c r="M33" s="85">
        <v>48</v>
      </c>
      <c r="N33" s="85">
        <v>1172</v>
      </c>
      <c r="O33" s="85">
        <v>1179</v>
      </c>
      <c r="P33" s="85">
        <v>193</v>
      </c>
      <c r="Q33" s="85">
        <v>218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500</v>
      </c>
      <c r="H34" s="83">
        <v>500</v>
      </c>
      <c r="I34" s="84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137</v>
      </c>
      <c r="H35" s="83">
        <v>137</v>
      </c>
      <c r="I35" s="84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679</v>
      </c>
      <c r="H36" s="90">
        <v>672</v>
      </c>
      <c r="I36" s="91">
        <v>0</v>
      </c>
      <c r="J36" s="92">
        <v>0</v>
      </c>
      <c r="K36" s="92">
        <v>0</v>
      </c>
      <c r="L36" s="92">
        <v>6</v>
      </c>
      <c r="M36" s="92">
        <v>0</v>
      </c>
      <c r="N36" s="92">
        <v>0</v>
      </c>
      <c r="O36" s="92">
        <v>1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134907</v>
      </c>
      <c r="H37" s="95">
        <v>49001</v>
      </c>
      <c r="I37" s="96">
        <v>30135</v>
      </c>
      <c r="J37" s="97">
        <v>6082</v>
      </c>
      <c r="K37" s="97">
        <v>567</v>
      </c>
      <c r="L37" s="97">
        <v>24859</v>
      </c>
      <c r="M37" s="97">
        <v>2345</v>
      </c>
      <c r="N37" s="97">
        <v>5234</v>
      </c>
      <c r="O37" s="97">
        <v>6644</v>
      </c>
      <c r="P37" s="97">
        <v>1894</v>
      </c>
      <c r="Q37" s="97">
        <v>8104</v>
      </c>
      <c r="R37" s="97">
        <v>42</v>
      </c>
      <c r="S37" s="98">
        <v>0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8072</v>
      </c>
      <c r="H39" s="83">
        <v>0</v>
      </c>
      <c r="I39" s="84">
        <v>7948</v>
      </c>
      <c r="J39" s="85">
        <v>0</v>
      </c>
      <c r="K39" s="85">
        <v>0</v>
      </c>
      <c r="L39" s="85">
        <v>0</v>
      </c>
      <c r="M39" s="85">
        <v>0</v>
      </c>
      <c r="N39" s="85">
        <v>124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5299</v>
      </c>
      <c r="H40" s="83">
        <v>0</v>
      </c>
      <c r="I40" s="84">
        <v>5003</v>
      </c>
      <c r="J40" s="85">
        <v>140</v>
      </c>
      <c r="K40" s="85">
        <v>114</v>
      </c>
      <c r="L40" s="85">
        <v>0</v>
      </c>
      <c r="M40" s="85">
        <v>0</v>
      </c>
      <c r="N40" s="85">
        <v>40</v>
      </c>
      <c r="O40" s="85">
        <v>0</v>
      </c>
      <c r="P40" s="85">
        <v>0</v>
      </c>
      <c r="Q40" s="85">
        <v>2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8550</v>
      </c>
      <c r="H41" s="83">
        <v>0</v>
      </c>
      <c r="I41" s="84">
        <v>8408</v>
      </c>
      <c r="J41" s="85">
        <v>53</v>
      </c>
      <c r="K41" s="85">
        <v>14</v>
      </c>
      <c r="L41" s="85">
        <v>0</v>
      </c>
      <c r="M41" s="85">
        <v>0</v>
      </c>
      <c r="N41" s="85">
        <v>22</v>
      </c>
      <c r="O41" s="85">
        <v>44</v>
      </c>
      <c r="P41" s="85">
        <v>0</v>
      </c>
      <c r="Q41" s="85">
        <v>9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2186</v>
      </c>
      <c r="H42" s="83">
        <v>0</v>
      </c>
      <c r="I42" s="84">
        <v>2092</v>
      </c>
      <c r="J42" s="85">
        <v>94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3094</v>
      </c>
      <c r="H43" s="90">
        <v>0</v>
      </c>
      <c r="I43" s="91">
        <v>3092</v>
      </c>
      <c r="J43" s="92">
        <v>0</v>
      </c>
      <c r="K43" s="92">
        <v>0</v>
      </c>
      <c r="L43" s="92">
        <v>0</v>
      </c>
      <c r="M43" s="92">
        <v>0</v>
      </c>
      <c r="N43" s="92">
        <v>2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27201</v>
      </c>
      <c r="H44" s="95">
        <v>0</v>
      </c>
      <c r="I44" s="96">
        <v>26543</v>
      </c>
      <c r="J44" s="97">
        <v>287</v>
      </c>
      <c r="K44" s="97">
        <v>128</v>
      </c>
      <c r="L44" s="97">
        <v>0</v>
      </c>
      <c r="M44" s="97">
        <v>0</v>
      </c>
      <c r="N44" s="97">
        <v>188</v>
      </c>
      <c r="O44" s="97">
        <v>44</v>
      </c>
      <c r="P44" s="97">
        <v>0</v>
      </c>
      <c r="Q44" s="97">
        <v>11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>
        <v>0</v>
      </c>
      <c r="K45" s="85">
        <v>0</v>
      </c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738</v>
      </c>
      <c r="H46" s="83">
        <v>0</v>
      </c>
      <c r="I46" s="84">
        <v>0</v>
      </c>
      <c r="J46" s="85">
        <v>0</v>
      </c>
      <c r="K46" s="85">
        <v>0</v>
      </c>
      <c r="L46" s="85">
        <v>738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4880</v>
      </c>
      <c r="H47" s="83">
        <v>0</v>
      </c>
      <c r="I47" s="84">
        <v>0</v>
      </c>
      <c r="J47" s="85">
        <v>0</v>
      </c>
      <c r="K47" s="85">
        <v>0</v>
      </c>
      <c r="L47" s="85">
        <v>4482</v>
      </c>
      <c r="M47" s="85">
        <v>372</v>
      </c>
      <c r="N47" s="85">
        <v>3</v>
      </c>
      <c r="O47" s="85">
        <v>0</v>
      </c>
      <c r="P47" s="85">
        <v>4</v>
      </c>
      <c r="Q47" s="85">
        <v>19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2488</v>
      </c>
      <c r="H48" s="83">
        <v>0</v>
      </c>
      <c r="I48" s="84">
        <v>0</v>
      </c>
      <c r="J48" s="85">
        <v>0</v>
      </c>
      <c r="K48" s="85">
        <v>0</v>
      </c>
      <c r="L48" s="85">
        <v>2197</v>
      </c>
      <c r="M48" s="85">
        <v>277</v>
      </c>
      <c r="N48" s="85">
        <v>5</v>
      </c>
      <c r="O48" s="85">
        <v>0</v>
      </c>
      <c r="P48" s="85">
        <v>9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20036</v>
      </c>
      <c r="H49" s="90">
        <v>0</v>
      </c>
      <c r="I49" s="91">
        <v>0</v>
      </c>
      <c r="J49" s="92">
        <v>0</v>
      </c>
      <c r="K49" s="92">
        <v>0</v>
      </c>
      <c r="L49" s="92">
        <v>17406</v>
      </c>
      <c r="M49" s="92">
        <v>561</v>
      </c>
      <c r="N49" s="92">
        <v>92</v>
      </c>
      <c r="O49" s="92">
        <v>1258</v>
      </c>
      <c r="P49" s="92">
        <v>719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28142</v>
      </c>
      <c r="H50" s="95">
        <v>0</v>
      </c>
      <c r="I50" s="96">
        <v>0</v>
      </c>
      <c r="J50" s="97">
        <v>0</v>
      </c>
      <c r="K50" s="97">
        <v>0</v>
      </c>
      <c r="L50" s="97">
        <v>24823</v>
      </c>
      <c r="M50" s="97">
        <v>1210</v>
      </c>
      <c r="N50" s="97">
        <v>100</v>
      </c>
      <c r="O50" s="97">
        <v>1258</v>
      </c>
      <c r="P50" s="97">
        <v>732</v>
      </c>
      <c r="Q50" s="97">
        <v>19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6809</v>
      </c>
      <c r="H52" s="83">
        <v>0</v>
      </c>
      <c r="I52" s="84">
        <v>0</v>
      </c>
      <c r="J52" s="85">
        <v>1</v>
      </c>
      <c r="K52" s="85">
        <v>4589</v>
      </c>
      <c r="L52" s="85">
        <v>0</v>
      </c>
      <c r="M52" s="85">
        <v>0</v>
      </c>
      <c r="N52" s="85">
        <v>1690</v>
      </c>
      <c r="O52" s="85">
        <v>528</v>
      </c>
      <c r="P52" s="85">
        <v>1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13485</v>
      </c>
      <c r="H53" s="90">
        <v>0</v>
      </c>
      <c r="I53" s="91">
        <v>8829</v>
      </c>
      <c r="J53" s="92">
        <v>1436</v>
      </c>
      <c r="K53" s="92">
        <v>1215</v>
      </c>
      <c r="L53" s="92">
        <v>0</v>
      </c>
      <c r="M53" s="92">
        <v>0</v>
      </c>
      <c r="N53" s="92">
        <v>48</v>
      </c>
      <c r="O53" s="92">
        <v>976</v>
      </c>
      <c r="P53" s="92">
        <v>40</v>
      </c>
      <c r="Q53" s="92">
        <v>941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20294</v>
      </c>
      <c r="H54" s="95">
        <v>0</v>
      </c>
      <c r="I54" s="96">
        <v>8829</v>
      </c>
      <c r="J54" s="97">
        <v>1437</v>
      </c>
      <c r="K54" s="97">
        <v>5804</v>
      </c>
      <c r="L54" s="97">
        <v>0</v>
      </c>
      <c r="M54" s="97">
        <v>0</v>
      </c>
      <c r="N54" s="97">
        <v>1738</v>
      </c>
      <c r="O54" s="97">
        <v>1504</v>
      </c>
      <c r="P54" s="97">
        <v>41</v>
      </c>
      <c r="Q54" s="97">
        <v>941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5552</v>
      </c>
      <c r="H57" s="83">
        <v>0</v>
      </c>
      <c r="I57" s="84">
        <v>0</v>
      </c>
      <c r="J57" s="85">
        <v>0</v>
      </c>
      <c r="K57" s="85">
        <v>0</v>
      </c>
      <c r="L57" s="85">
        <v>0</v>
      </c>
      <c r="M57" s="85">
        <v>3</v>
      </c>
      <c r="N57" s="85">
        <v>2489</v>
      </c>
      <c r="O57" s="85">
        <v>2639</v>
      </c>
      <c r="P57" s="85">
        <v>243</v>
      </c>
      <c r="Q57" s="85">
        <v>127</v>
      </c>
      <c r="R57" s="85">
        <v>0</v>
      </c>
      <c r="S57" s="87">
        <v>51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1039</v>
      </c>
      <c r="H58" s="83">
        <v>0</v>
      </c>
      <c r="I58" s="84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7">
        <v>1039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721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721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516</v>
      </c>
      <c r="H60" s="83">
        <v>0</v>
      </c>
      <c r="I60" s="84">
        <v>0</v>
      </c>
      <c r="J60" s="85">
        <v>0</v>
      </c>
      <c r="K60" s="85">
        <v>0</v>
      </c>
      <c r="L60" s="85">
        <v>0</v>
      </c>
      <c r="M60" s="85">
        <v>395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7">
        <v>121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1590</v>
      </c>
      <c r="H61" s="83">
        <v>0</v>
      </c>
      <c r="I61" s="84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7">
        <v>1590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3824</v>
      </c>
      <c r="H62" s="83">
        <v>0</v>
      </c>
      <c r="I62" s="84">
        <v>0</v>
      </c>
      <c r="J62" s="85">
        <v>0</v>
      </c>
      <c r="K62" s="85">
        <v>1369</v>
      </c>
      <c r="L62" s="85">
        <v>0</v>
      </c>
      <c r="M62" s="85">
        <v>2</v>
      </c>
      <c r="N62" s="85">
        <v>1168</v>
      </c>
      <c r="O62" s="85">
        <v>600</v>
      </c>
      <c r="P62" s="85">
        <v>84</v>
      </c>
      <c r="Q62" s="85">
        <v>594</v>
      </c>
      <c r="R62" s="85">
        <v>0</v>
      </c>
      <c r="S62" s="87">
        <v>7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5188</v>
      </c>
      <c r="H63" s="83">
        <v>0</v>
      </c>
      <c r="I63" s="84">
        <v>0</v>
      </c>
      <c r="J63" s="85">
        <v>0</v>
      </c>
      <c r="K63" s="85">
        <v>1433</v>
      </c>
      <c r="L63" s="85">
        <v>0</v>
      </c>
      <c r="M63" s="85">
        <v>0</v>
      </c>
      <c r="N63" s="85">
        <v>945</v>
      </c>
      <c r="O63" s="85">
        <v>758</v>
      </c>
      <c r="P63" s="85">
        <v>143</v>
      </c>
      <c r="Q63" s="85">
        <v>79</v>
      </c>
      <c r="R63" s="85">
        <v>0</v>
      </c>
      <c r="S63" s="87">
        <v>1830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79</v>
      </c>
      <c r="H64" s="83">
        <v>0</v>
      </c>
      <c r="I64" s="84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7">
        <v>79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2194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723</v>
      </c>
      <c r="P65" s="85">
        <v>0</v>
      </c>
      <c r="Q65" s="85">
        <v>0</v>
      </c>
      <c r="R65" s="85">
        <v>0</v>
      </c>
      <c r="S65" s="87">
        <v>1471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114</v>
      </c>
      <c r="H66" s="83">
        <v>0</v>
      </c>
      <c r="I66" s="84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114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693</v>
      </c>
      <c r="H67" s="90">
        <v>0</v>
      </c>
      <c r="I67" s="91">
        <v>0</v>
      </c>
      <c r="J67" s="92">
        <v>0</v>
      </c>
      <c r="K67" s="92">
        <v>0</v>
      </c>
      <c r="L67" s="92">
        <v>0</v>
      </c>
      <c r="M67" s="92">
        <v>0</v>
      </c>
      <c r="N67" s="92">
        <v>93</v>
      </c>
      <c r="O67" s="92">
        <v>4</v>
      </c>
      <c r="P67" s="92">
        <v>1</v>
      </c>
      <c r="Q67" s="92">
        <v>388</v>
      </c>
      <c r="R67" s="92">
        <v>0</v>
      </c>
      <c r="S67" s="104">
        <v>207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21510</v>
      </c>
      <c r="H68" s="106">
        <v>0</v>
      </c>
      <c r="I68" s="107">
        <v>0</v>
      </c>
      <c r="J68" s="108">
        <v>0</v>
      </c>
      <c r="K68" s="108">
        <v>2802</v>
      </c>
      <c r="L68" s="108">
        <v>0</v>
      </c>
      <c r="M68" s="108">
        <v>400</v>
      </c>
      <c r="N68" s="108">
        <v>4695</v>
      </c>
      <c r="O68" s="108">
        <v>4724</v>
      </c>
      <c r="P68" s="108">
        <v>471</v>
      </c>
      <c r="Q68" s="108">
        <v>1188</v>
      </c>
      <c r="R68" s="108">
        <v>0</v>
      </c>
      <c r="S68" s="109">
        <v>7230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1213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1213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10817</v>
      </c>
      <c r="H70" s="83">
        <v>0</v>
      </c>
      <c r="I70" s="84">
        <v>0</v>
      </c>
      <c r="J70" s="85">
        <v>0</v>
      </c>
      <c r="K70" s="85">
        <v>0</v>
      </c>
      <c r="L70" s="85">
        <v>0</v>
      </c>
      <c r="M70" s="85">
        <v>0</v>
      </c>
      <c r="N70" s="85">
        <v>57</v>
      </c>
      <c r="O70" s="85">
        <v>0</v>
      </c>
      <c r="P70" s="85">
        <v>1037</v>
      </c>
      <c r="Q70" s="85">
        <v>225</v>
      </c>
      <c r="R70" s="85">
        <v>9498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5992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104</v>
      </c>
      <c r="O71" s="85">
        <v>0</v>
      </c>
      <c r="P71" s="85">
        <v>246</v>
      </c>
      <c r="Q71" s="85">
        <v>94</v>
      </c>
      <c r="R71" s="85">
        <v>5548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6788</v>
      </c>
      <c r="H72" s="83">
        <v>0</v>
      </c>
      <c r="I72" s="84">
        <v>0</v>
      </c>
      <c r="J72" s="85">
        <v>0</v>
      </c>
      <c r="K72" s="85">
        <v>0</v>
      </c>
      <c r="L72" s="85">
        <v>0</v>
      </c>
      <c r="M72" s="85">
        <v>82</v>
      </c>
      <c r="N72" s="85">
        <v>195</v>
      </c>
      <c r="O72" s="85">
        <v>191</v>
      </c>
      <c r="P72" s="85">
        <v>23</v>
      </c>
      <c r="Q72" s="85">
        <v>33</v>
      </c>
      <c r="R72" s="85">
        <v>6264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582</v>
      </c>
      <c r="H73" s="83">
        <v>0</v>
      </c>
      <c r="I73" s="84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582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58</v>
      </c>
      <c r="H74" s="90">
        <v>0</v>
      </c>
      <c r="I74" s="91">
        <v>0</v>
      </c>
      <c r="J74" s="92">
        <v>0</v>
      </c>
      <c r="K74" s="92">
        <v>0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58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25450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82</v>
      </c>
      <c r="N75" s="108">
        <v>356</v>
      </c>
      <c r="O75" s="108">
        <v>191</v>
      </c>
      <c r="P75" s="108">
        <v>1306</v>
      </c>
      <c r="Q75" s="108">
        <v>352</v>
      </c>
      <c r="R75" s="108">
        <v>23163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11</v>
      </c>
      <c r="H76" s="100">
        <v>0</v>
      </c>
      <c r="I76" s="101">
        <v>0</v>
      </c>
      <c r="J76" s="102">
        <v>0</v>
      </c>
      <c r="K76" s="102">
        <v>0</v>
      </c>
      <c r="L76" s="102">
        <v>0</v>
      </c>
      <c r="M76" s="102">
        <v>0</v>
      </c>
      <c r="N76" s="102">
        <v>0</v>
      </c>
      <c r="O76" s="102">
        <v>0</v>
      </c>
      <c r="P76" s="102">
        <v>0</v>
      </c>
      <c r="Q76" s="102">
        <v>11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11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11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88</v>
      </c>
      <c r="H79" s="78">
        <v>0</v>
      </c>
      <c r="I79" s="79">
        <v>0</v>
      </c>
      <c r="J79" s="80">
        <v>0</v>
      </c>
      <c r="K79" s="80">
        <v>0</v>
      </c>
      <c r="L79" s="80">
        <v>0</v>
      </c>
      <c r="M79" s="80">
        <v>0</v>
      </c>
      <c r="N79" s="80">
        <v>0</v>
      </c>
      <c r="O79" s="80">
        <v>56</v>
      </c>
      <c r="P79" s="80">
        <v>0</v>
      </c>
      <c r="Q79" s="80">
        <v>32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21</v>
      </c>
      <c r="H80" s="83">
        <v>0</v>
      </c>
      <c r="I80" s="84">
        <v>0</v>
      </c>
      <c r="J80" s="85">
        <v>0</v>
      </c>
      <c r="K80" s="85">
        <v>0</v>
      </c>
      <c r="L80" s="85">
        <v>0</v>
      </c>
      <c r="M80" s="85">
        <v>0</v>
      </c>
      <c r="N80" s="85">
        <v>0</v>
      </c>
      <c r="O80" s="85">
        <v>0</v>
      </c>
      <c r="P80" s="85">
        <v>0</v>
      </c>
      <c r="Q80" s="85">
        <v>21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308</v>
      </c>
      <c r="H81" s="83">
        <v>0</v>
      </c>
      <c r="I81" s="84">
        <v>0</v>
      </c>
      <c r="J81" s="85">
        <v>0</v>
      </c>
      <c r="K81" s="85">
        <v>0</v>
      </c>
      <c r="L81" s="85">
        <v>0</v>
      </c>
      <c r="M81" s="85">
        <v>200</v>
      </c>
      <c r="N81" s="85">
        <v>0</v>
      </c>
      <c r="O81" s="85">
        <v>0</v>
      </c>
      <c r="P81" s="85">
        <v>0</v>
      </c>
      <c r="Q81" s="85">
        <v>108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>
        <v>0</v>
      </c>
      <c r="K82" s="85">
        <v>0</v>
      </c>
      <c r="L82" s="85">
        <v>0</v>
      </c>
      <c r="M82" s="85">
        <v>0</v>
      </c>
      <c r="N82" s="85">
        <v>0</v>
      </c>
      <c r="O82" s="85">
        <v>0</v>
      </c>
      <c r="P82" s="85">
        <v>0</v>
      </c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21</v>
      </c>
      <c r="H83" s="83">
        <v>0</v>
      </c>
      <c r="I83" s="84">
        <v>0</v>
      </c>
      <c r="J83" s="85">
        <v>0</v>
      </c>
      <c r="K83" s="85">
        <v>0</v>
      </c>
      <c r="L83" s="85">
        <v>0</v>
      </c>
      <c r="M83" s="85">
        <v>0</v>
      </c>
      <c r="N83" s="85">
        <v>0</v>
      </c>
      <c r="O83" s="85">
        <v>0</v>
      </c>
      <c r="P83" s="85">
        <v>0</v>
      </c>
      <c r="Q83" s="85">
        <v>21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2366</v>
      </c>
      <c r="H85" s="83">
        <v>0</v>
      </c>
      <c r="I85" s="84">
        <v>0</v>
      </c>
      <c r="J85" s="85">
        <v>0</v>
      </c>
      <c r="K85" s="85">
        <v>0</v>
      </c>
      <c r="L85" s="85">
        <v>0</v>
      </c>
      <c r="M85" s="85">
        <v>1728</v>
      </c>
      <c r="N85" s="85">
        <v>256</v>
      </c>
      <c r="O85" s="85">
        <v>0</v>
      </c>
      <c r="P85" s="85">
        <v>0</v>
      </c>
      <c r="Q85" s="85">
        <v>382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311</v>
      </c>
      <c r="H86" s="83">
        <v>0</v>
      </c>
      <c r="I86" s="84">
        <v>0</v>
      </c>
      <c r="J86" s="85">
        <v>0</v>
      </c>
      <c r="K86" s="85">
        <v>0</v>
      </c>
      <c r="L86" s="85">
        <v>0</v>
      </c>
      <c r="M86" s="85">
        <v>0</v>
      </c>
      <c r="N86" s="85">
        <v>0</v>
      </c>
      <c r="O86" s="85">
        <v>311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437</v>
      </c>
      <c r="H87" s="83">
        <v>0</v>
      </c>
      <c r="I87" s="84">
        <v>0</v>
      </c>
      <c r="J87" s="85">
        <v>0</v>
      </c>
      <c r="K87" s="85">
        <v>0</v>
      </c>
      <c r="L87" s="85">
        <v>0</v>
      </c>
      <c r="M87" s="85">
        <v>1</v>
      </c>
      <c r="N87" s="85">
        <v>0</v>
      </c>
      <c r="O87" s="85">
        <v>0</v>
      </c>
      <c r="P87" s="85">
        <v>0</v>
      </c>
      <c r="Q87" s="85">
        <v>436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>
        <v>0</v>
      </c>
      <c r="K88" s="85">
        <v>0</v>
      </c>
      <c r="L88" s="85">
        <v>0</v>
      </c>
      <c r="M88" s="85">
        <v>0</v>
      </c>
      <c r="N88" s="85">
        <v>0</v>
      </c>
      <c r="O88" s="85">
        <v>0</v>
      </c>
      <c r="P88" s="85">
        <v>0</v>
      </c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0</v>
      </c>
      <c r="P90" s="85">
        <v>0</v>
      </c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>
        <v>0</v>
      </c>
      <c r="K91" s="85">
        <v>0</v>
      </c>
      <c r="L91" s="85">
        <v>0</v>
      </c>
      <c r="M91" s="85">
        <v>0</v>
      </c>
      <c r="N91" s="85">
        <v>0</v>
      </c>
      <c r="O91" s="85">
        <v>0</v>
      </c>
      <c r="P91" s="85">
        <v>0</v>
      </c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1344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800</v>
      </c>
      <c r="N92" s="85">
        <v>0</v>
      </c>
      <c r="O92" s="85">
        <v>359</v>
      </c>
      <c r="P92" s="85">
        <v>0</v>
      </c>
      <c r="Q92" s="85">
        <v>185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223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101</v>
      </c>
      <c r="P93" s="85">
        <v>0</v>
      </c>
      <c r="Q93" s="85">
        <v>122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356</v>
      </c>
      <c r="H94" s="83">
        <v>0</v>
      </c>
      <c r="I94" s="84">
        <v>0</v>
      </c>
      <c r="J94" s="85">
        <v>0</v>
      </c>
      <c r="K94" s="85">
        <v>0</v>
      </c>
      <c r="L94" s="85">
        <v>0</v>
      </c>
      <c r="M94" s="85">
        <v>0</v>
      </c>
      <c r="N94" s="85">
        <v>0</v>
      </c>
      <c r="O94" s="85">
        <v>0</v>
      </c>
      <c r="P94" s="85">
        <v>0</v>
      </c>
      <c r="Q94" s="85">
        <v>356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397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397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1097</v>
      </c>
      <c r="H97" s="90">
        <v>0</v>
      </c>
      <c r="I97" s="91">
        <v>0</v>
      </c>
      <c r="J97" s="92">
        <v>0</v>
      </c>
      <c r="K97" s="92">
        <v>0</v>
      </c>
      <c r="L97" s="92">
        <v>0</v>
      </c>
      <c r="M97" s="92">
        <v>0</v>
      </c>
      <c r="N97" s="92">
        <v>363</v>
      </c>
      <c r="O97" s="92">
        <v>0</v>
      </c>
      <c r="P97" s="92">
        <v>0</v>
      </c>
      <c r="Q97" s="92">
        <v>734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6969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2729</v>
      </c>
      <c r="N98" s="108">
        <v>619</v>
      </c>
      <c r="O98" s="108">
        <v>827</v>
      </c>
      <c r="P98" s="108">
        <v>0</v>
      </c>
      <c r="Q98" s="108">
        <v>2794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22</v>
      </c>
      <c r="H100" s="78">
        <v>0</v>
      </c>
      <c r="I100" s="79">
        <v>0</v>
      </c>
      <c r="J100" s="80">
        <v>0</v>
      </c>
      <c r="K100" s="80">
        <v>0</v>
      </c>
      <c r="L100" s="80">
        <v>0</v>
      </c>
      <c r="M100" s="80">
        <v>0</v>
      </c>
      <c r="N100" s="80">
        <v>0</v>
      </c>
      <c r="O100" s="80">
        <v>0</v>
      </c>
      <c r="P100" s="80">
        <v>22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4</v>
      </c>
      <c r="H101" s="83">
        <v>0</v>
      </c>
      <c r="I101" s="84">
        <v>0</v>
      </c>
      <c r="J101" s="85">
        <v>0</v>
      </c>
      <c r="K101" s="85">
        <v>0</v>
      </c>
      <c r="L101" s="85">
        <v>0</v>
      </c>
      <c r="M101" s="85">
        <v>1</v>
      </c>
      <c r="N101" s="85">
        <v>0</v>
      </c>
      <c r="O101" s="85">
        <v>0</v>
      </c>
      <c r="P101" s="85">
        <v>0</v>
      </c>
      <c r="Q101" s="85">
        <v>3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226</v>
      </c>
      <c r="H102" s="83">
        <v>200</v>
      </c>
      <c r="I102" s="84">
        <v>0</v>
      </c>
      <c r="J102" s="85">
        <v>0</v>
      </c>
      <c r="K102" s="85">
        <v>0</v>
      </c>
      <c r="L102" s="85">
        <v>16</v>
      </c>
      <c r="M102" s="85">
        <v>0</v>
      </c>
      <c r="N102" s="85">
        <v>10</v>
      </c>
      <c r="O102" s="85">
        <v>0</v>
      </c>
      <c r="P102" s="85">
        <v>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>
        <v>0</v>
      </c>
      <c r="K104" s="85">
        <v>0</v>
      </c>
      <c r="L104" s="85">
        <v>0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150</v>
      </c>
      <c r="H105" s="83">
        <v>0</v>
      </c>
      <c r="I105" s="84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30</v>
      </c>
      <c r="P105" s="85">
        <v>0</v>
      </c>
      <c r="Q105" s="85">
        <v>120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14</v>
      </c>
      <c r="H106" s="83">
        <v>0</v>
      </c>
      <c r="I106" s="84">
        <v>0</v>
      </c>
      <c r="J106" s="85">
        <v>0</v>
      </c>
      <c r="K106" s="85">
        <v>0</v>
      </c>
      <c r="L106" s="85">
        <v>0</v>
      </c>
      <c r="M106" s="85">
        <v>14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0</v>
      </c>
      <c r="H107" s="90">
        <v>0</v>
      </c>
      <c r="I107" s="91">
        <v>0</v>
      </c>
      <c r="J107" s="92">
        <v>0</v>
      </c>
      <c r="K107" s="92">
        <v>0</v>
      </c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416</v>
      </c>
      <c r="H108" s="95">
        <v>200</v>
      </c>
      <c r="I108" s="96">
        <v>0</v>
      </c>
      <c r="J108" s="97">
        <v>0</v>
      </c>
      <c r="K108" s="97">
        <v>0</v>
      </c>
      <c r="L108" s="97">
        <v>16</v>
      </c>
      <c r="M108" s="97">
        <v>15</v>
      </c>
      <c r="N108" s="97">
        <v>10</v>
      </c>
      <c r="O108" s="97">
        <v>30</v>
      </c>
      <c r="P108" s="97">
        <v>22</v>
      </c>
      <c r="Q108" s="97">
        <v>123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264900</v>
      </c>
      <c r="H110" s="116">
        <v>49201</v>
      </c>
      <c r="I110" s="117">
        <v>65507</v>
      </c>
      <c r="J110" s="118">
        <v>7806</v>
      </c>
      <c r="K110" s="118">
        <v>9301</v>
      </c>
      <c r="L110" s="118">
        <v>49698</v>
      </c>
      <c r="M110" s="118">
        <v>6781</v>
      </c>
      <c r="N110" s="118">
        <v>12940</v>
      </c>
      <c r="O110" s="118">
        <v>15222</v>
      </c>
      <c r="P110" s="118">
        <v>4466</v>
      </c>
      <c r="Q110" s="118">
        <v>13543</v>
      </c>
      <c r="R110" s="118">
        <v>23205</v>
      </c>
      <c r="S110" s="119">
        <v>7230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26525</v>
      </c>
      <c r="H111" s="121">
        <v>7055</v>
      </c>
      <c r="I111" s="122">
        <v>6217</v>
      </c>
      <c r="J111" s="123">
        <v>930</v>
      </c>
      <c r="K111" s="123">
        <v>4</v>
      </c>
      <c r="L111" s="123">
        <v>9439</v>
      </c>
      <c r="M111" s="123">
        <v>831</v>
      </c>
      <c r="N111" s="123">
        <v>161</v>
      </c>
      <c r="O111" s="123">
        <v>256</v>
      </c>
      <c r="P111" s="123">
        <v>27</v>
      </c>
      <c r="Q111" s="123">
        <v>774</v>
      </c>
      <c r="R111" s="123">
        <v>624</v>
      </c>
      <c r="S111" s="124">
        <v>207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3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9C8B-9184-4A72-8844-4091F00C439E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5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105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11783</v>
      </c>
      <c r="H6" s="78">
        <v>2062</v>
      </c>
      <c r="I6" s="79">
        <v>0</v>
      </c>
      <c r="J6" s="80">
        <v>0</v>
      </c>
      <c r="K6" s="80">
        <v>0</v>
      </c>
      <c r="L6" s="80">
        <v>4686</v>
      </c>
      <c r="M6" s="80">
        <v>132</v>
      </c>
      <c r="N6" s="80">
        <v>2023</v>
      </c>
      <c r="O6" s="80">
        <v>981</v>
      </c>
      <c r="P6" s="80">
        <v>1194</v>
      </c>
      <c r="Q6" s="80">
        <v>705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>
        <v>0</v>
      </c>
      <c r="K7" s="85">
        <v>0</v>
      </c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2591</v>
      </c>
      <c r="H8" s="83">
        <v>2591</v>
      </c>
      <c r="I8" s="84">
        <v>0</v>
      </c>
      <c r="J8" s="85">
        <v>0</v>
      </c>
      <c r="K8" s="85">
        <v>0</v>
      </c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791</v>
      </c>
      <c r="H9" s="83">
        <v>791</v>
      </c>
      <c r="I9" s="84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20</v>
      </c>
      <c r="H10" s="83">
        <v>0</v>
      </c>
      <c r="I10" s="84">
        <v>0</v>
      </c>
      <c r="J10" s="85">
        <v>0</v>
      </c>
      <c r="K10" s="85">
        <v>0</v>
      </c>
      <c r="L10" s="85">
        <v>0</v>
      </c>
      <c r="M10" s="85">
        <v>20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11431</v>
      </c>
      <c r="H11" s="83">
        <v>3045</v>
      </c>
      <c r="I11" s="84">
        <v>7631</v>
      </c>
      <c r="J11" s="85">
        <v>0</v>
      </c>
      <c r="K11" s="85">
        <v>0</v>
      </c>
      <c r="L11" s="85">
        <v>0</v>
      </c>
      <c r="M11" s="85">
        <v>8</v>
      </c>
      <c r="N11" s="85">
        <v>6</v>
      </c>
      <c r="O11" s="85">
        <v>740</v>
      </c>
      <c r="P11" s="85">
        <v>0</v>
      </c>
      <c r="Q11" s="85">
        <v>1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2284</v>
      </c>
      <c r="H13" s="83">
        <v>2129</v>
      </c>
      <c r="I13" s="84">
        <v>0</v>
      </c>
      <c r="J13" s="85">
        <v>0</v>
      </c>
      <c r="K13" s="85">
        <v>0</v>
      </c>
      <c r="L13" s="85">
        <v>0</v>
      </c>
      <c r="M13" s="85">
        <v>12</v>
      </c>
      <c r="N13" s="85">
        <v>0</v>
      </c>
      <c r="O13" s="85">
        <v>140</v>
      </c>
      <c r="P13" s="85">
        <v>3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53</v>
      </c>
      <c r="H14" s="83">
        <v>47</v>
      </c>
      <c r="I14" s="84">
        <v>0</v>
      </c>
      <c r="J14" s="85">
        <v>0</v>
      </c>
      <c r="K14" s="85">
        <v>0</v>
      </c>
      <c r="L14" s="85">
        <v>0</v>
      </c>
      <c r="M14" s="85">
        <v>6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6275</v>
      </c>
      <c r="H15" s="83">
        <v>0</v>
      </c>
      <c r="I15" s="84">
        <v>0</v>
      </c>
      <c r="J15" s="85">
        <v>0</v>
      </c>
      <c r="K15" s="85">
        <v>0</v>
      </c>
      <c r="L15" s="85">
        <v>4296</v>
      </c>
      <c r="M15" s="85">
        <v>607</v>
      </c>
      <c r="N15" s="85">
        <v>217</v>
      </c>
      <c r="O15" s="85">
        <v>225</v>
      </c>
      <c r="P15" s="85">
        <v>318</v>
      </c>
      <c r="Q15" s="85">
        <v>612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13578</v>
      </c>
      <c r="H16" s="83">
        <v>3365</v>
      </c>
      <c r="I16" s="84">
        <v>5622</v>
      </c>
      <c r="J16" s="85">
        <v>2493</v>
      </c>
      <c r="K16" s="85">
        <v>0</v>
      </c>
      <c r="L16" s="85">
        <v>0</v>
      </c>
      <c r="M16" s="85">
        <v>210</v>
      </c>
      <c r="N16" s="85">
        <v>405</v>
      </c>
      <c r="O16" s="85">
        <v>350</v>
      </c>
      <c r="P16" s="85">
        <v>0</v>
      </c>
      <c r="Q16" s="85">
        <v>1133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4145</v>
      </c>
      <c r="H17" s="83">
        <v>0</v>
      </c>
      <c r="I17" s="84">
        <v>3991</v>
      </c>
      <c r="J17" s="85">
        <v>2</v>
      </c>
      <c r="K17" s="85">
        <v>0</v>
      </c>
      <c r="L17" s="85">
        <v>0</v>
      </c>
      <c r="M17" s="85">
        <v>50</v>
      </c>
      <c r="N17" s="85">
        <v>101</v>
      </c>
      <c r="O17" s="85">
        <v>0</v>
      </c>
      <c r="P17" s="85">
        <v>0</v>
      </c>
      <c r="Q17" s="85">
        <v>1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0</v>
      </c>
      <c r="H18" s="83">
        <v>0</v>
      </c>
      <c r="I18" s="84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8579</v>
      </c>
      <c r="H19" s="83">
        <v>1122</v>
      </c>
      <c r="I19" s="84">
        <v>2541</v>
      </c>
      <c r="J19" s="85">
        <v>625</v>
      </c>
      <c r="K19" s="85">
        <v>91</v>
      </c>
      <c r="L19" s="85">
        <v>3430</v>
      </c>
      <c r="M19" s="85">
        <v>5</v>
      </c>
      <c r="N19" s="85">
        <v>333</v>
      </c>
      <c r="O19" s="85">
        <v>320</v>
      </c>
      <c r="P19" s="85">
        <v>47</v>
      </c>
      <c r="Q19" s="85">
        <v>65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715</v>
      </c>
      <c r="H20" s="83">
        <v>6</v>
      </c>
      <c r="I20" s="84">
        <v>157</v>
      </c>
      <c r="J20" s="85">
        <v>332</v>
      </c>
      <c r="K20" s="85">
        <v>0</v>
      </c>
      <c r="L20" s="85">
        <v>205</v>
      </c>
      <c r="M20" s="85">
        <v>0</v>
      </c>
      <c r="N20" s="85">
        <v>3</v>
      </c>
      <c r="O20" s="85">
        <v>0</v>
      </c>
      <c r="P20" s="85">
        <v>1</v>
      </c>
      <c r="Q20" s="85">
        <v>11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0</v>
      </c>
      <c r="H21" s="83">
        <v>0</v>
      </c>
      <c r="I21" s="84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8144</v>
      </c>
      <c r="H23" s="83">
        <v>1423</v>
      </c>
      <c r="I23" s="84">
        <v>0</v>
      </c>
      <c r="J23" s="85">
        <v>0</v>
      </c>
      <c r="K23" s="85">
        <v>0</v>
      </c>
      <c r="L23" s="85">
        <v>5463</v>
      </c>
      <c r="M23" s="85">
        <v>893</v>
      </c>
      <c r="N23" s="85">
        <v>31</v>
      </c>
      <c r="O23" s="85">
        <v>3</v>
      </c>
      <c r="P23" s="85">
        <v>43</v>
      </c>
      <c r="Q23" s="85">
        <v>288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952</v>
      </c>
      <c r="H24" s="83">
        <v>654</v>
      </c>
      <c r="I24" s="84">
        <v>0</v>
      </c>
      <c r="J24" s="85">
        <v>0</v>
      </c>
      <c r="K24" s="85">
        <v>0</v>
      </c>
      <c r="L24" s="85">
        <v>294</v>
      </c>
      <c r="M24" s="85">
        <v>0</v>
      </c>
      <c r="N24" s="85">
        <v>0</v>
      </c>
      <c r="O24" s="85">
        <v>0</v>
      </c>
      <c r="P24" s="85">
        <v>0</v>
      </c>
      <c r="Q24" s="85">
        <v>4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1150</v>
      </c>
      <c r="H25" s="83">
        <v>1150</v>
      </c>
      <c r="I25" s="84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2088</v>
      </c>
      <c r="H26" s="83">
        <v>747</v>
      </c>
      <c r="I26" s="84">
        <v>14</v>
      </c>
      <c r="J26" s="85">
        <v>0</v>
      </c>
      <c r="K26" s="85">
        <v>6</v>
      </c>
      <c r="L26" s="85">
        <v>1167</v>
      </c>
      <c r="M26" s="85">
        <v>57</v>
      </c>
      <c r="N26" s="85">
        <v>3</v>
      </c>
      <c r="O26" s="85">
        <v>10</v>
      </c>
      <c r="P26" s="85">
        <v>6</v>
      </c>
      <c r="Q26" s="85">
        <v>29</v>
      </c>
      <c r="R26" s="85">
        <v>49</v>
      </c>
      <c r="S26" s="86">
        <v>0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1227</v>
      </c>
      <c r="H27" s="83">
        <v>144</v>
      </c>
      <c r="I27" s="84">
        <v>4</v>
      </c>
      <c r="J27" s="85">
        <v>372</v>
      </c>
      <c r="K27" s="85">
        <v>0</v>
      </c>
      <c r="L27" s="85">
        <v>659</v>
      </c>
      <c r="M27" s="85">
        <v>10</v>
      </c>
      <c r="N27" s="85">
        <v>4</v>
      </c>
      <c r="O27" s="85">
        <v>5</v>
      </c>
      <c r="P27" s="85">
        <v>2</v>
      </c>
      <c r="Q27" s="85">
        <v>25</v>
      </c>
      <c r="R27" s="85">
        <v>2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16518</v>
      </c>
      <c r="H28" s="83">
        <v>4055</v>
      </c>
      <c r="I28" s="84">
        <v>6899</v>
      </c>
      <c r="J28" s="85">
        <v>1889</v>
      </c>
      <c r="K28" s="85">
        <v>577</v>
      </c>
      <c r="L28" s="85">
        <v>0</v>
      </c>
      <c r="M28" s="85">
        <v>298</v>
      </c>
      <c r="N28" s="85">
        <v>617</v>
      </c>
      <c r="O28" s="85">
        <v>7</v>
      </c>
      <c r="P28" s="85">
        <v>0</v>
      </c>
      <c r="Q28" s="85">
        <v>2176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11857</v>
      </c>
      <c r="H29" s="83">
        <v>6788</v>
      </c>
      <c r="I29" s="84">
        <v>1293</v>
      </c>
      <c r="J29" s="85">
        <v>483</v>
      </c>
      <c r="K29" s="85">
        <v>0</v>
      </c>
      <c r="L29" s="85">
        <v>866</v>
      </c>
      <c r="M29" s="85">
        <v>258</v>
      </c>
      <c r="N29" s="85">
        <v>161</v>
      </c>
      <c r="O29" s="85">
        <v>1184</v>
      </c>
      <c r="P29" s="85">
        <v>76</v>
      </c>
      <c r="Q29" s="85">
        <v>748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0</v>
      </c>
      <c r="H30" s="83">
        <v>0</v>
      </c>
      <c r="I30" s="84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13608</v>
      </c>
      <c r="H31" s="83">
        <v>4515</v>
      </c>
      <c r="I31" s="84">
        <v>6605</v>
      </c>
      <c r="J31" s="85">
        <v>471</v>
      </c>
      <c r="K31" s="85">
        <v>0</v>
      </c>
      <c r="L31" s="85">
        <v>0</v>
      </c>
      <c r="M31" s="85">
        <v>14</v>
      </c>
      <c r="N31" s="85">
        <v>167</v>
      </c>
      <c r="O31" s="85">
        <v>426</v>
      </c>
      <c r="P31" s="85">
        <v>42</v>
      </c>
      <c r="Q31" s="85">
        <v>1368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1553</v>
      </c>
      <c r="H32" s="83">
        <v>611</v>
      </c>
      <c r="I32" s="84">
        <v>0</v>
      </c>
      <c r="J32" s="85">
        <v>0</v>
      </c>
      <c r="K32" s="85">
        <v>0</v>
      </c>
      <c r="L32" s="85">
        <v>0</v>
      </c>
      <c r="M32" s="85">
        <v>0</v>
      </c>
      <c r="N32" s="85">
        <v>166</v>
      </c>
      <c r="O32" s="85">
        <v>101</v>
      </c>
      <c r="P32" s="85">
        <v>2</v>
      </c>
      <c r="Q32" s="85">
        <v>673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6238</v>
      </c>
      <c r="H33" s="83">
        <v>2514</v>
      </c>
      <c r="I33" s="84">
        <v>0</v>
      </c>
      <c r="J33" s="85">
        <v>0</v>
      </c>
      <c r="K33" s="85">
        <v>0</v>
      </c>
      <c r="L33" s="85">
        <v>0</v>
      </c>
      <c r="M33" s="85">
        <v>42</v>
      </c>
      <c r="N33" s="85">
        <v>1053</v>
      </c>
      <c r="O33" s="85">
        <v>2105</v>
      </c>
      <c r="P33" s="85">
        <v>260</v>
      </c>
      <c r="Q33" s="85">
        <v>264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333</v>
      </c>
      <c r="H34" s="83">
        <v>333</v>
      </c>
      <c r="I34" s="84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95</v>
      </c>
      <c r="H35" s="83">
        <v>95</v>
      </c>
      <c r="I35" s="84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1820</v>
      </c>
      <c r="H36" s="90">
        <v>1814</v>
      </c>
      <c r="I36" s="91">
        <v>0</v>
      </c>
      <c r="J36" s="92">
        <v>0</v>
      </c>
      <c r="K36" s="92">
        <v>0</v>
      </c>
      <c r="L36" s="92">
        <v>4</v>
      </c>
      <c r="M36" s="92">
        <v>0</v>
      </c>
      <c r="N36" s="92">
        <v>0</v>
      </c>
      <c r="O36" s="92">
        <v>2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127828</v>
      </c>
      <c r="H37" s="95">
        <v>40001</v>
      </c>
      <c r="I37" s="96">
        <v>34757</v>
      </c>
      <c r="J37" s="97">
        <v>6667</v>
      </c>
      <c r="K37" s="97">
        <v>674</v>
      </c>
      <c r="L37" s="97">
        <v>21070</v>
      </c>
      <c r="M37" s="97">
        <v>2622</v>
      </c>
      <c r="N37" s="97">
        <v>5290</v>
      </c>
      <c r="O37" s="97">
        <v>6599</v>
      </c>
      <c r="P37" s="97">
        <v>1994</v>
      </c>
      <c r="Q37" s="97">
        <v>8103</v>
      </c>
      <c r="R37" s="97">
        <v>51</v>
      </c>
      <c r="S37" s="98">
        <v>0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9263</v>
      </c>
      <c r="H39" s="83">
        <v>0</v>
      </c>
      <c r="I39" s="84">
        <v>9158</v>
      </c>
      <c r="J39" s="85">
        <v>0</v>
      </c>
      <c r="K39" s="85">
        <v>0</v>
      </c>
      <c r="L39" s="85">
        <v>0</v>
      </c>
      <c r="M39" s="85">
        <v>0</v>
      </c>
      <c r="N39" s="85">
        <v>105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5644</v>
      </c>
      <c r="H40" s="83">
        <v>0</v>
      </c>
      <c r="I40" s="84">
        <v>5405</v>
      </c>
      <c r="J40" s="85">
        <v>108</v>
      </c>
      <c r="K40" s="85">
        <v>77</v>
      </c>
      <c r="L40" s="85">
        <v>0</v>
      </c>
      <c r="M40" s="85">
        <v>0</v>
      </c>
      <c r="N40" s="85">
        <v>53</v>
      </c>
      <c r="O40" s="85">
        <v>0</v>
      </c>
      <c r="P40" s="85">
        <v>0</v>
      </c>
      <c r="Q40" s="85">
        <v>1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8752</v>
      </c>
      <c r="H41" s="83">
        <v>0</v>
      </c>
      <c r="I41" s="84">
        <v>8571</v>
      </c>
      <c r="J41" s="85">
        <v>37</v>
      </c>
      <c r="K41" s="85">
        <v>23</v>
      </c>
      <c r="L41" s="85">
        <v>0</v>
      </c>
      <c r="M41" s="85">
        <v>0</v>
      </c>
      <c r="N41" s="85">
        <v>48</v>
      </c>
      <c r="O41" s="85">
        <v>64</v>
      </c>
      <c r="P41" s="85">
        <v>0</v>
      </c>
      <c r="Q41" s="85">
        <v>9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569</v>
      </c>
      <c r="H42" s="83">
        <v>0</v>
      </c>
      <c r="I42" s="84">
        <v>494</v>
      </c>
      <c r="J42" s="85">
        <v>75</v>
      </c>
      <c r="K42" s="85">
        <v>0</v>
      </c>
      <c r="L42" s="85">
        <v>0</v>
      </c>
      <c r="M42" s="85">
        <v>0</v>
      </c>
      <c r="N42" s="85">
        <v>0</v>
      </c>
      <c r="O42" s="85">
        <v>0</v>
      </c>
      <c r="P42" s="85">
        <v>0</v>
      </c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663</v>
      </c>
      <c r="H43" s="90">
        <v>0</v>
      </c>
      <c r="I43" s="91">
        <v>662</v>
      </c>
      <c r="J43" s="92">
        <v>0</v>
      </c>
      <c r="K43" s="92">
        <v>0</v>
      </c>
      <c r="L43" s="92">
        <v>0</v>
      </c>
      <c r="M43" s="92">
        <v>0</v>
      </c>
      <c r="N43" s="92">
        <v>1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24891</v>
      </c>
      <c r="H44" s="95">
        <v>0</v>
      </c>
      <c r="I44" s="96">
        <v>24290</v>
      </c>
      <c r="J44" s="97">
        <v>220</v>
      </c>
      <c r="K44" s="97">
        <v>100</v>
      </c>
      <c r="L44" s="97">
        <v>0</v>
      </c>
      <c r="M44" s="97">
        <v>0</v>
      </c>
      <c r="N44" s="97">
        <v>207</v>
      </c>
      <c r="O44" s="97">
        <v>64</v>
      </c>
      <c r="P44" s="97">
        <v>0</v>
      </c>
      <c r="Q44" s="97">
        <v>10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>
        <v>0</v>
      </c>
      <c r="K45" s="85">
        <v>0</v>
      </c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1116</v>
      </c>
      <c r="H46" s="83">
        <v>0</v>
      </c>
      <c r="I46" s="84">
        <v>0</v>
      </c>
      <c r="J46" s="85">
        <v>0</v>
      </c>
      <c r="K46" s="85">
        <v>0</v>
      </c>
      <c r="L46" s="85">
        <v>1116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4907</v>
      </c>
      <c r="H47" s="83">
        <v>0</v>
      </c>
      <c r="I47" s="84">
        <v>0</v>
      </c>
      <c r="J47" s="85">
        <v>0</v>
      </c>
      <c r="K47" s="85">
        <v>0</v>
      </c>
      <c r="L47" s="85">
        <v>4598</v>
      </c>
      <c r="M47" s="85">
        <v>260</v>
      </c>
      <c r="N47" s="85">
        <v>0</v>
      </c>
      <c r="O47" s="85">
        <v>0</v>
      </c>
      <c r="P47" s="85">
        <v>26</v>
      </c>
      <c r="Q47" s="85">
        <v>23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1964</v>
      </c>
      <c r="H48" s="83">
        <v>0</v>
      </c>
      <c r="I48" s="84">
        <v>0</v>
      </c>
      <c r="J48" s="85">
        <v>0</v>
      </c>
      <c r="K48" s="85">
        <v>0</v>
      </c>
      <c r="L48" s="85">
        <v>1673</v>
      </c>
      <c r="M48" s="85">
        <v>235</v>
      </c>
      <c r="N48" s="85">
        <v>15</v>
      </c>
      <c r="O48" s="85">
        <v>0</v>
      </c>
      <c r="P48" s="85">
        <v>41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14058</v>
      </c>
      <c r="H49" s="90">
        <v>0</v>
      </c>
      <c r="I49" s="91">
        <v>0</v>
      </c>
      <c r="J49" s="92">
        <v>0</v>
      </c>
      <c r="K49" s="92">
        <v>0</v>
      </c>
      <c r="L49" s="92">
        <v>11960</v>
      </c>
      <c r="M49" s="92">
        <v>582</v>
      </c>
      <c r="N49" s="92">
        <v>225</v>
      </c>
      <c r="O49" s="92">
        <v>544</v>
      </c>
      <c r="P49" s="92">
        <v>747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22045</v>
      </c>
      <c r="H50" s="95">
        <v>0</v>
      </c>
      <c r="I50" s="96">
        <v>0</v>
      </c>
      <c r="J50" s="97">
        <v>0</v>
      </c>
      <c r="K50" s="97">
        <v>0</v>
      </c>
      <c r="L50" s="97">
        <v>19347</v>
      </c>
      <c r="M50" s="97">
        <v>1077</v>
      </c>
      <c r="N50" s="97">
        <v>240</v>
      </c>
      <c r="O50" s="97">
        <v>544</v>
      </c>
      <c r="P50" s="97">
        <v>814</v>
      </c>
      <c r="Q50" s="97">
        <v>23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6824</v>
      </c>
      <c r="H52" s="83">
        <v>0</v>
      </c>
      <c r="I52" s="84">
        <v>0</v>
      </c>
      <c r="J52" s="85">
        <v>1</v>
      </c>
      <c r="K52" s="85">
        <v>4782</v>
      </c>
      <c r="L52" s="85">
        <v>0</v>
      </c>
      <c r="M52" s="85">
        <v>0</v>
      </c>
      <c r="N52" s="85">
        <v>1532</v>
      </c>
      <c r="O52" s="85">
        <v>508</v>
      </c>
      <c r="P52" s="85">
        <v>1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13287</v>
      </c>
      <c r="H53" s="90">
        <v>0</v>
      </c>
      <c r="I53" s="91">
        <v>9955</v>
      </c>
      <c r="J53" s="92">
        <v>815</v>
      </c>
      <c r="K53" s="92">
        <v>1285</v>
      </c>
      <c r="L53" s="92">
        <v>3</v>
      </c>
      <c r="M53" s="92">
        <v>4</v>
      </c>
      <c r="N53" s="92">
        <v>33</v>
      </c>
      <c r="O53" s="92">
        <v>696</v>
      </c>
      <c r="P53" s="92">
        <v>40</v>
      </c>
      <c r="Q53" s="92">
        <v>456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20111</v>
      </c>
      <c r="H54" s="95">
        <v>0</v>
      </c>
      <c r="I54" s="96">
        <v>9955</v>
      </c>
      <c r="J54" s="97">
        <v>816</v>
      </c>
      <c r="K54" s="97">
        <v>6067</v>
      </c>
      <c r="L54" s="97">
        <v>3</v>
      </c>
      <c r="M54" s="97">
        <v>4</v>
      </c>
      <c r="N54" s="97">
        <v>1565</v>
      </c>
      <c r="O54" s="97">
        <v>1204</v>
      </c>
      <c r="P54" s="97">
        <v>41</v>
      </c>
      <c r="Q54" s="97">
        <v>456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5621</v>
      </c>
      <c r="H57" s="83">
        <v>0</v>
      </c>
      <c r="I57" s="84">
        <v>0</v>
      </c>
      <c r="J57" s="85">
        <v>0</v>
      </c>
      <c r="K57" s="85">
        <v>0</v>
      </c>
      <c r="L57" s="85">
        <v>0</v>
      </c>
      <c r="M57" s="85">
        <v>10</v>
      </c>
      <c r="N57" s="85">
        <v>2531</v>
      </c>
      <c r="O57" s="85">
        <v>2604</v>
      </c>
      <c r="P57" s="85">
        <v>352</v>
      </c>
      <c r="Q57" s="85">
        <v>121</v>
      </c>
      <c r="R57" s="85">
        <v>0</v>
      </c>
      <c r="S57" s="87">
        <v>3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1309</v>
      </c>
      <c r="H58" s="83">
        <v>0</v>
      </c>
      <c r="I58" s="84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7">
        <v>1309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359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359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396</v>
      </c>
      <c r="H60" s="83">
        <v>0</v>
      </c>
      <c r="I60" s="84">
        <v>0</v>
      </c>
      <c r="J60" s="85">
        <v>0</v>
      </c>
      <c r="K60" s="85">
        <v>0</v>
      </c>
      <c r="L60" s="85">
        <v>0</v>
      </c>
      <c r="M60" s="85">
        <v>302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7">
        <v>94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1359</v>
      </c>
      <c r="H61" s="83">
        <v>0</v>
      </c>
      <c r="I61" s="84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7">
        <v>1359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3488</v>
      </c>
      <c r="H62" s="83">
        <v>0</v>
      </c>
      <c r="I62" s="84">
        <v>0</v>
      </c>
      <c r="J62" s="85">
        <v>0</v>
      </c>
      <c r="K62" s="85">
        <v>1163</v>
      </c>
      <c r="L62" s="85">
        <v>0</v>
      </c>
      <c r="M62" s="85">
        <v>3</v>
      </c>
      <c r="N62" s="85">
        <v>1235</v>
      </c>
      <c r="O62" s="85">
        <v>361</v>
      </c>
      <c r="P62" s="85">
        <v>167</v>
      </c>
      <c r="Q62" s="85">
        <v>555</v>
      </c>
      <c r="R62" s="85">
        <v>0</v>
      </c>
      <c r="S62" s="87">
        <v>4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5753</v>
      </c>
      <c r="H63" s="83">
        <v>0</v>
      </c>
      <c r="I63" s="84">
        <v>0</v>
      </c>
      <c r="J63" s="85">
        <v>0</v>
      </c>
      <c r="K63" s="85">
        <v>1427</v>
      </c>
      <c r="L63" s="85">
        <v>0</v>
      </c>
      <c r="M63" s="85">
        <v>0</v>
      </c>
      <c r="N63" s="85">
        <v>1050</v>
      </c>
      <c r="O63" s="85">
        <v>1197</v>
      </c>
      <c r="P63" s="85">
        <v>81</v>
      </c>
      <c r="Q63" s="85">
        <v>49</v>
      </c>
      <c r="R63" s="85">
        <v>0</v>
      </c>
      <c r="S63" s="87">
        <v>1949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113</v>
      </c>
      <c r="H64" s="83">
        <v>0</v>
      </c>
      <c r="I64" s="84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113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2512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1069</v>
      </c>
      <c r="P65" s="85">
        <v>0</v>
      </c>
      <c r="Q65" s="85">
        <v>0</v>
      </c>
      <c r="R65" s="85">
        <v>0</v>
      </c>
      <c r="S65" s="87">
        <v>1443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166</v>
      </c>
      <c r="H66" s="83">
        <v>0</v>
      </c>
      <c r="I66" s="84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166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740</v>
      </c>
      <c r="H67" s="90">
        <v>0</v>
      </c>
      <c r="I67" s="91">
        <v>0</v>
      </c>
      <c r="J67" s="92">
        <v>0</v>
      </c>
      <c r="K67" s="92">
        <v>0</v>
      </c>
      <c r="L67" s="92">
        <v>0</v>
      </c>
      <c r="M67" s="92">
        <v>0</v>
      </c>
      <c r="N67" s="92">
        <v>95</v>
      </c>
      <c r="O67" s="92">
        <v>9</v>
      </c>
      <c r="P67" s="92">
        <v>2</v>
      </c>
      <c r="Q67" s="92">
        <v>427</v>
      </c>
      <c r="R67" s="92">
        <v>0</v>
      </c>
      <c r="S67" s="104">
        <v>207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21816</v>
      </c>
      <c r="H68" s="106">
        <v>0</v>
      </c>
      <c r="I68" s="107">
        <v>0</v>
      </c>
      <c r="J68" s="108">
        <v>0</v>
      </c>
      <c r="K68" s="108">
        <v>2590</v>
      </c>
      <c r="L68" s="108">
        <v>0</v>
      </c>
      <c r="M68" s="108">
        <v>315</v>
      </c>
      <c r="N68" s="108">
        <v>4911</v>
      </c>
      <c r="O68" s="108">
        <v>5240</v>
      </c>
      <c r="P68" s="108">
        <v>602</v>
      </c>
      <c r="Q68" s="108">
        <v>1152</v>
      </c>
      <c r="R68" s="108">
        <v>0</v>
      </c>
      <c r="S68" s="109">
        <v>7006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1639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1639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15204</v>
      </c>
      <c r="H70" s="83">
        <v>0</v>
      </c>
      <c r="I70" s="84">
        <v>0</v>
      </c>
      <c r="J70" s="85">
        <v>0</v>
      </c>
      <c r="K70" s="85">
        <v>0</v>
      </c>
      <c r="L70" s="85">
        <v>0</v>
      </c>
      <c r="M70" s="85">
        <v>0</v>
      </c>
      <c r="N70" s="85">
        <v>65</v>
      </c>
      <c r="O70" s="85">
        <v>0</v>
      </c>
      <c r="P70" s="85">
        <v>1068</v>
      </c>
      <c r="Q70" s="85">
        <v>197</v>
      </c>
      <c r="R70" s="85">
        <v>13874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7995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151</v>
      </c>
      <c r="O71" s="85">
        <v>0</v>
      </c>
      <c r="P71" s="85">
        <v>228</v>
      </c>
      <c r="Q71" s="85">
        <v>86</v>
      </c>
      <c r="R71" s="85">
        <v>7530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7975</v>
      </c>
      <c r="H72" s="83">
        <v>0</v>
      </c>
      <c r="I72" s="84">
        <v>0</v>
      </c>
      <c r="J72" s="85">
        <v>0</v>
      </c>
      <c r="K72" s="85">
        <v>0</v>
      </c>
      <c r="L72" s="85">
        <v>0</v>
      </c>
      <c r="M72" s="85">
        <v>68</v>
      </c>
      <c r="N72" s="85">
        <v>191</v>
      </c>
      <c r="O72" s="85">
        <v>178</v>
      </c>
      <c r="P72" s="85">
        <v>34</v>
      </c>
      <c r="Q72" s="85">
        <v>66</v>
      </c>
      <c r="R72" s="85">
        <v>7438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688</v>
      </c>
      <c r="H73" s="83">
        <v>0</v>
      </c>
      <c r="I73" s="84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688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115</v>
      </c>
      <c r="H74" s="90">
        <v>0</v>
      </c>
      <c r="I74" s="91">
        <v>0</v>
      </c>
      <c r="J74" s="92">
        <v>0</v>
      </c>
      <c r="K74" s="92">
        <v>0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115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33616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68</v>
      </c>
      <c r="N75" s="108">
        <v>407</v>
      </c>
      <c r="O75" s="108">
        <v>178</v>
      </c>
      <c r="P75" s="108">
        <v>1330</v>
      </c>
      <c r="Q75" s="108">
        <v>349</v>
      </c>
      <c r="R75" s="108">
        <v>31284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3</v>
      </c>
      <c r="H76" s="100">
        <v>0</v>
      </c>
      <c r="I76" s="101">
        <v>0</v>
      </c>
      <c r="J76" s="102">
        <v>0</v>
      </c>
      <c r="K76" s="102">
        <v>0</v>
      </c>
      <c r="L76" s="102">
        <v>0</v>
      </c>
      <c r="M76" s="102">
        <v>0</v>
      </c>
      <c r="N76" s="102">
        <v>0</v>
      </c>
      <c r="O76" s="102">
        <v>0</v>
      </c>
      <c r="P76" s="102">
        <v>0</v>
      </c>
      <c r="Q76" s="102">
        <v>3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3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3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100</v>
      </c>
      <c r="H79" s="78">
        <v>0</v>
      </c>
      <c r="I79" s="79">
        <v>0</v>
      </c>
      <c r="J79" s="80">
        <v>0</v>
      </c>
      <c r="K79" s="80">
        <v>0</v>
      </c>
      <c r="L79" s="80">
        <v>0</v>
      </c>
      <c r="M79" s="80">
        <v>0</v>
      </c>
      <c r="N79" s="80">
        <v>0</v>
      </c>
      <c r="O79" s="80">
        <v>70</v>
      </c>
      <c r="P79" s="80">
        <v>0</v>
      </c>
      <c r="Q79" s="80">
        <v>30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21</v>
      </c>
      <c r="H80" s="83">
        <v>0</v>
      </c>
      <c r="I80" s="84">
        <v>0</v>
      </c>
      <c r="J80" s="85">
        <v>0</v>
      </c>
      <c r="K80" s="85">
        <v>0</v>
      </c>
      <c r="L80" s="85">
        <v>0</v>
      </c>
      <c r="M80" s="85">
        <v>0</v>
      </c>
      <c r="N80" s="85">
        <v>0</v>
      </c>
      <c r="O80" s="85">
        <v>0</v>
      </c>
      <c r="P80" s="85">
        <v>0</v>
      </c>
      <c r="Q80" s="85">
        <v>21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452</v>
      </c>
      <c r="H81" s="83">
        <v>0</v>
      </c>
      <c r="I81" s="84">
        <v>0</v>
      </c>
      <c r="J81" s="85">
        <v>0</v>
      </c>
      <c r="K81" s="85">
        <v>0</v>
      </c>
      <c r="L81" s="85">
        <v>0</v>
      </c>
      <c r="M81" s="85">
        <v>355</v>
      </c>
      <c r="N81" s="85">
        <v>0</v>
      </c>
      <c r="O81" s="85">
        <v>0</v>
      </c>
      <c r="P81" s="85">
        <v>0</v>
      </c>
      <c r="Q81" s="85">
        <v>97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>
        <v>0</v>
      </c>
      <c r="K82" s="85">
        <v>0</v>
      </c>
      <c r="L82" s="85">
        <v>0</v>
      </c>
      <c r="M82" s="85">
        <v>0</v>
      </c>
      <c r="N82" s="85">
        <v>0</v>
      </c>
      <c r="O82" s="85">
        <v>0</v>
      </c>
      <c r="P82" s="85">
        <v>0</v>
      </c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23</v>
      </c>
      <c r="H83" s="83">
        <v>0</v>
      </c>
      <c r="I83" s="84">
        <v>0</v>
      </c>
      <c r="J83" s="85">
        <v>0</v>
      </c>
      <c r="K83" s="85">
        <v>0</v>
      </c>
      <c r="L83" s="85">
        <v>0</v>
      </c>
      <c r="M83" s="85">
        <v>0</v>
      </c>
      <c r="N83" s="85">
        <v>0</v>
      </c>
      <c r="O83" s="85">
        <v>0</v>
      </c>
      <c r="P83" s="85">
        <v>0</v>
      </c>
      <c r="Q83" s="85">
        <v>23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2629</v>
      </c>
      <c r="H85" s="83">
        <v>0</v>
      </c>
      <c r="I85" s="84">
        <v>0</v>
      </c>
      <c r="J85" s="85">
        <v>0</v>
      </c>
      <c r="K85" s="85">
        <v>0</v>
      </c>
      <c r="L85" s="85">
        <v>0</v>
      </c>
      <c r="M85" s="85">
        <v>1908</v>
      </c>
      <c r="N85" s="85">
        <v>204</v>
      </c>
      <c r="O85" s="85">
        <v>0</v>
      </c>
      <c r="P85" s="85">
        <v>0</v>
      </c>
      <c r="Q85" s="85">
        <v>517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331</v>
      </c>
      <c r="H86" s="83">
        <v>0</v>
      </c>
      <c r="I86" s="84">
        <v>0</v>
      </c>
      <c r="J86" s="85">
        <v>0</v>
      </c>
      <c r="K86" s="85">
        <v>0</v>
      </c>
      <c r="L86" s="85">
        <v>0</v>
      </c>
      <c r="M86" s="85">
        <v>0</v>
      </c>
      <c r="N86" s="85">
        <v>0</v>
      </c>
      <c r="O86" s="85">
        <v>331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653</v>
      </c>
      <c r="H87" s="83">
        <v>0</v>
      </c>
      <c r="I87" s="84">
        <v>0</v>
      </c>
      <c r="J87" s="85">
        <v>0</v>
      </c>
      <c r="K87" s="85">
        <v>0</v>
      </c>
      <c r="L87" s="85">
        <v>0</v>
      </c>
      <c r="M87" s="85">
        <v>0</v>
      </c>
      <c r="N87" s="85">
        <v>0</v>
      </c>
      <c r="O87" s="85">
        <v>0</v>
      </c>
      <c r="P87" s="85">
        <v>0</v>
      </c>
      <c r="Q87" s="85">
        <v>653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>
        <v>0</v>
      </c>
      <c r="K88" s="85">
        <v>0</v>
      </c>
      <c r="L88" s="85">
        <v>0</v>
      </c>
      <c r="M88" s="85">
        <v>0</v>
      </c>
      <c r="N88" s="85">
        <v>0</v>
      </c>
      <c r="O88" s="85">
        <v>0</v>
      </c>
      <c r="P88" s="85">
        <v>0</v>
      </c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0</v>
      </c>
      <c r="P90" s="85">
        <v>0</v>
      </c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>
        <v>0</v>
      </c>
      <c r="K91" s="85">
        <v>0</v>
      </c>
      <c r="L91" s="85">
        <v>0</v>
      </c>
      <c r="M91" s="85">
        <v>0</v>
      </c>
      <c r="N91" s="85">
        <v>0</v>
      </c>
      <c r="O91" s="85">
        <v>0</v>
      </c>
      <c r="P91" s="85">
        <v>0</v>
      </c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1332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897</v>
      </c>
      <c r="N92" s="85">
        <v>0</v>
      </c>
      <c r="O92" s="85">
        <v>273</v>
      </c>
      <c r="P92" s="85">
        <v>0</v>
      </c>
      <c r="Q92" s="85">
        <v>162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351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225</v>
      </c>
      <c r="P93" s="85">
        <v>0</v>
      </c>
      <c r="Q93" s="85">
        <v>126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373</v>
      </c>
      <c r="H94" s="83">
        <v>0</v>
      </c>
      <c r="I94" s="84">
        <v>0</v>
      </c>
      <c r="J94" s="85">
        <v>0</v>
      </c>
      <c r="K94" s="85">
        <v>0</v>
      </c>
      <c r="L94" s="85">
        <v>0</v>
      </c>
      <c r="M94" s="85">
        <v>0</v>
      </c>
      <c r="N94" s="85">
        <v>0</v>
      </c>
      <c r="O94" s="85">
        <v>0</v>
      </c>
      <c r="P94" s="85">
        <v>0</v>
      </c>
      <c r="Q94" s="85">
        <v>373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417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417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1357</v>
      </c>
      <c r="H97" s="90">
        <v>0</v>
      </c>
      <c r="I97" s="91">
        <v>0</v>
      </c>
      <c r="J97" s="92">
        <v>0</v>
      </c>
      <c r="K97" s="92">
        <v>0</v>
      </c>
      <c r="L97" s="92">
        <v>0</v>
      </c>
      <c r="M97" s="92">
        <v>0</v>
      </c>
      <c r="N97" s="92">
        <v>425</v>
      </c>
      <c r="O97" s="92">
        <v>0</v>
      </c>
      <c r="P97" s="92">
        <v>0</v>
      </c>
      <c r="Q97" s="92">
        <v>932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8039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3160</v>
      </c>
      <c r="N98" s="108">
        <v>629</v>
      </c>
      <c r="O98" s="108">
        <v>899</v>
      </c>
      <c r="P98" s="108">
        <v>0</v>
      </c>
      <c r="Q98" s="108">
        <v>3351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1</v>
      </c>
      <c r="H100" s="78">
        <v>0</v>
      </c>
      <c r="I100" s="79">
        <v>0</v>
      </c>
      <c r="J100" s="80">
        <v>0</v>
      </c>
      <c r="K100" s="80">
        <v>0</v>
      </c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1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78</v>
      </c>
      <c r="H101" s="83">
        <v>0</v>
      </c>
      <c r="I101" s="84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70</v>
      </c>
      <c r="Q101" s="85">
        <v>8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440</v>
      </c>
      <c r="H102" s="83">
        <v>340</v>
      </c>
      <c r="I102" s="84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100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>
        <v>0</v>
      </c>
      <c r="K104" s="85">
        <v>0</v>
      </c>
      <c r="L104" s="85">
        <v>0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180</v>
      </c>
      <c r="H105" s="83">
        <v>0</v>
      </c>
      <c r="I105" s="84">
        <v>0</v>
      </c>
      <c r="J105" s="85">
        <v>0</v>
      </c>
      <c r="K105" s="85">
        <v>0</v>
      </c>
      <c r="L105" s="85">
        <v>0</v>
      </c>
      <c r="M105" s="85">
        <v>180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25</v>
      </c>
      <c r="H106" s="83">
        <v>0</v>
      </c>
      <c r="I106" s="84">
        <v>0</v>
      </c>
      <c r="J106" s="85">
        <v>0</v>
      </c>
      <c r="K106" s="85">
        <v>0</v>
      </c>
      <c r="L106" s="85">
        <v>0</v>
      </c>
      <c r="M106" s="85">
        <v>0</v>
      </c>
      <c r="N106" s="85">
        <v>0</v>
      </c>
      <c r="O106" s="85">
        <v>25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0</v>
      </c>
      <c r="H107" s="90">
        <v>0</v>
      </c>
      <c r="I107" s="91">
        <v>0</v>
      </c>
      <c r="J107" s="92">
        <v>0</v>
      </c>
      <c r="K107" s="92">
        <v>0</v>
      </c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724</v>
      </c>
      <c r="H108" s="95">
        <v>340</v>
      </c>
      <c r="I108" s="96">
        <v>0</v>
      </c>
      <c r="J108" s="97">
        <v>0</v>
      </c>
      <c r="K108" s="97">
        <v>0</v>
      </c>
      <c r="L108" s="97">
        <v>0</v>
      </c>
      <c r="M108" s="97">
        <v>180</v>
      </c>
      <c r="N108" s="97">
        <v>0</v>
      </c>
      <c r="O108" s="97">
        <v>25</v>
      </c>
      <c r="P108" s="97">
        <v>170</v>
      </c>
      <c r="Q108" s="97">
        <v>9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259073</v>
      </c>
      <c r="H110" s="116">
        <v>40341</v>
      </c>
      <c r="I110" s="117">
        <v>69002</v>
      </c>
      <c r="J110" s="118">
        <v>7703</v>
      </c>
      <c r="K110" s="118">
        <v>9431</v>
      </c>
      <c r="L110" s="118">
        <v>40420</v>
      </c>
      <c r="M110" s="118">
        <v>7426</v>
      </c>
      <c r="N110" s="118">
        <v>13249</v>
      </c>
      <c r="O110" s="118">
        <v>14753</v>
      </c>
      <c r="P110" s="118">
        <v>4951</v>
      </c>
      <c r="Q110" s="118">
        <v>13456</v>
      </c>
      <c r="R110" s="118">
        <v>31335</v>
      </c>
      <c r="S110" s="119">
        <v>7006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20999</v>
      </c>
      <c r="H111" s="121">
        <v>7062</v>
      </c>
      <c r="I111" s="122">
        <v>1331</v>
      </c>
      <c r="J111" s="123">
        <v>779</v>
      </c>
      <c r="K111" s="123">
        <v>6</v>
      </c>
      <c r="L111" s="123">
        <v>8908</v>
      </c>
      <c r="M111" s="123">
        <v>960</v>
      </c>
      <c r="N111" s="123">
        <v>137</v>
      </c>
      <c r="O111" s="123">
        <v>29</v>
      </c>
      <c r="P111" s="123">
        <v>54</v>
      </c>
      <c r="Q111" s="123">
        <v>787</v>
      </c>
      <c r="R111" s="123">
        <v>739</v>
      </c>
      <c r="S111" s="124">
        <v>207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2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E810-1F59-4BD4-8A5D-354C2AFAF7F0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5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B6" sqref="B6:E10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106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11010</v>
      </c>
      <c r="H6" s="78">
        <v>1512</v>
      </c>
      <c r="I6" s="79">
        <v>0</v>
      </c>
      <c r="J6" s="80"/>
      <c r="K6" s="80"/>
      <c r="L6" s="80">
        <v>4320</v>
      </c>
      <c r="M6" s="80">
        <v>49</v>
      </c>
      <c r="N6" s="80">
        <v>2061</v>
      </c>
      <c r="O6" s="80">
        <v>1013</v>
      </c>
      <c r="P6" s="80">
        <v>1256</v>
      </c>
      <c r="Q6" s="80">
        <v>799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/>
      <c r="K7" s="85"/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3918</v>
      </c>
      <c r="H8" s="83">
        <v>3918</v>
      </c>
      <c r="I8" s="84">
        <v>0</v>
      </c>
      <c r="J8" s="85"/>
      <c r="K8" s="85"/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298</v>
      </c>
      <c r="H9" s="83">
        <v>298</v>
      </c>
      <c r="I9" s="84">
        <v>0</v>
      </c>
      <c r="J9" s="85"/>
      <c r="K9" s="85"/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3</v>
      </c>
      <c r="H10" s="83">
        <v>0</v>
      </c>
      <c r="I10" s="84">
        <v>0</v>
      </c>
      <c r="J10" s="85">
        <v>0</v>
      </c>
      <c r="K10" s="85">
        <v>0</v>
      </c>
      <c r="L10" s="85">
        <v>0</v>
      </c>
      <c r="M10" s="85">
        <v>3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10798</v>
      </c>
      <c r="H11" s="83">
        <v>3827</v>
      </c>
      <c r="I11" s="84">
        <v>6430</v>
      </c>
      <c r="J11" s="85">
        <v>0</v>
      </c>
      <c r="K11" s="85">
        <v>0</v>
      </c>
      <c r="L11" s="85">
        <v>0</v>
      </c>
      <c r="M11" s="85">
        <v>1</v>
      </c>
      <c r="N11" s="85">
        <v>12</v>
      </c>
      <c r="O11" s="85">
        <v>526</v>
      </c>
      <c r="P11" s="85">
        <v>2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2634</v>
      </c>
      <c r="H13" s="83">
        <v>2569</v>
      </c>
      <c r="I13" s="84">
        <v>0</v>
      </c>
      <c r="J13" s="85">
        <v>0</v>
      </c>
      <c r="K13" s="85">
        <v>0</v>
      </c>
      <c r="L13" s="85">
        <v>0</v>
      </c>
      <c r="M13" s="85">
        <v>10</v>
      </c>
      <c r="N13" s="85">
        <v>0</v>
      </c>
      <c r="O13" s="85">
        <v>54</v>
      </c>
      <c r="P13" s="85">
        <v>1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139</v>
      </c>
      <c r="H14" s="83">
        <v>138</v>
      </c>
      <c r="I14" s="84">
        <v>0</v>
      </c>
      <c r="J14" s="85">
        <v>0</v>
      </c>
      <c r="K14" s="85">
        <v>0</v>
      </c>
      <c r="L14" s="85">
        <v>0</v>
      </c>
      <c r="M14" s="85">
        <v>1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5666</v>
      </c>
      <c r="H15" s="83">
        <v>0</v>
      </c>
      <c r="I15" s="84">
        <v>0</v>
      </c>
      <c r="J15" s="85"/>
      <c r="K15" s="85"/>
      <c r="L15" s="85">
        <v>4148</v>
      </c>
      <c r="M15" s="85">
        <v>194</v>
      </c>
      <c r="N15" s="85">
        <v>307</v>
      </c>
      <c r="O15" s="85">
        <v>126</v>
      </c>
      <c r="P15" s="85">
        <v>174</v>
      </c>
      <c r="Q15" s="85">
        <v>717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14503</v>
      </c>
      <c r="H16" s="83">
        <v>4640</v>
      </c>
      <c r="I16" s="84">
        <v>6286</v>
      </c>
      <c r="J16" s="85">
        <v>1739</v>
      </c>
      <c r="K16" s="85">
        <v>0</v>
      </c>
      <c r="L16" s="85">
        <v>0</v>
      </c>
      <c r="M16" s="85">
        <v>232</v>
      </c>
      <c r="N16" s="85">
        <v>383</v>
      </c>
      <c r="O16" s="85">
        <v>141</v>
      </c>
      <c r="P16" s="85">
        <v>0</v>
      </c>
      <c r="Q16" s="85">
        <v>1082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3373</v>
      </c>
      <c r="H17" s="83">
        <v>0</v>
      </c>
      <c r="I17" s="84">
        <v>3280</v>
      </c>
      <c r="J17" s="85">
        <v>0</v>
      </c>
      <c r="K17" s="85">
        <v>0</v>
      </c>
      <c r="L17" s="85">
        <v>0</v>
      </c>
      <c r="M17" s="85">
        <v>37</v>
      </c>
      <c r="N17" s="85">
        <v>54</v>
      </c>
      <c r="O17" s="85">
        <v>0</v>
      </c>
      <c r="P17" s="85">
        <v>0</v>
      </c>
      <c r="Q17" s="85">
        <v>2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3</v>
      </c>
      <c r="H18" s="83">
        <v>0</v>
      </c>
      <c r="I18" s="84">
        <v>0</v>
      </c>
      <c r="J18" s="85">
        <v>0</v>
      </c>
      <c r="K18" s="85">
        <v>0</v>
      </c>
      <c r="L18" s="85">
        <v>0</v>
      </c>
      <c r="M18" s="85">
        <v>0</v>
      </c>
      <c r="N18" s="85">
        <v>3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10571</v>
      </c>
      <c r="H19" s="83">
        <v>1348</v>
      </c>
      <c r="I19" s="84">
        <v>5040</v>
      </c>
      <c r="J19" s="85">
        <v>547</v>
      </c>
      <c r="K19" s="85">
        <v>48</v>
      </c>
      <c r="L19" s="85">
        <v>2612</v>
      </c>
      <c r="M19" s="85">
        <v>6</v>
      </c>
      <c r="N19" s="85">
        <v>374</v>
      </c>
      <c r="O19" s="85">
        <v>465</v>
      </c>
      <c r="P19" s="85">
        <v>42</v>
      </c>
      <c r="Q19" s="85">
        <v>89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1106</v>
      </c>
      <c r="H20" s="83">
        <v>31</v>
      </c>
      <c r="I20" s="84">
        <v>190</v>
      </c>
      <c r="J20" s="85">
        <v>326</v>
      </c>
      <c r="K20" s="85">
        <v>0</v>
      </c>
      <c r="L20" s="85">
        <v>530</v>
      </c>
      <c r="M20" s="85">
        <v>2</v>
      </c>
      <c r="N20" s="85">
        <v>0</v>
      </c>
      <c r="O20" s="85">
        <v>0</v>
      </c>
      <c r="P20" s="85">
        <v>0</v>
      </c>
      <c r="Q20" s="85">
        <v>27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0</v>
      </c>
      <c r="H21" s="83">
        <v>0</v>
      </c>
      <c r="I21" s="84">
        <v>0</v>
      </c>
      <c r="J21" s="85"/>
      <c r="K21" s="85"/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/>
      <c r="K22" s="85"/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7307</v>
      </c>
      <c r="H23" s="83">
        <v>684</v>
      </c>
      <c r="I23" s="84">
        <v>0</v>
      </c>
      <c r="J23" s="85"/>
      <c r="K23" s="85"/>
      <c r="L23" s="85">
        <v>5827</v>
      </c>
      <c r="M23" s="85">
        <v>461</v>
      </c>
      <c r="N23" s="85">
        <v>26</v>
      </c>
      <c r="O23" s="85">
        <v>10</v>
      </c>
      <c r="P23" s="85">
        <v>18</v>
      </c>
      <c r="Q23" s="85">
        <v>281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476</v>
      </c>
      <c r="H24" s="83">
        <v>338</v>
      </c>
      <c r="I24" s="84">
        <v>0</v>
      </c>
      <c r="J24" s="85">
        <v>0</v>
      </c>
      <c r="K24" s="85">
        <v>0</v>
      </c>
      <c r="L24" s="85">
        <v>136</v>
      </c>
      <c r="M24" s="85">
        <v>0</v>
      </c>
      <c r="N24" s="85">
        <v>0</v>
      </c>
      <c r="O24" s="85">
        <v>0</v>
      </c>
      <c r="P24" s="85">
        <v>0</v>
      </c>
      <c r="Q24" s="85">
        <v>2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817</v>
      </c>
      <c r="H25" s="83">
        <v>667</v>
      </c>
      <c r="I25" s="84">
        <v>0</v>
      </c>
      <c r="J25" s="85"/>
      <c r="K25" s="85"/>
      <c r="L25" s="85">
        <v>150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1806</v>
      </c>
      <c r="H26" s="83">
        <v>392</v>
      </c>
      <c r="I26" s="84">
        <v>10</v>
      </c>
      <c r="J26" s="85">
        <v>0</v>
      </c>
      <c r="K26" s="85">
        <v>20</v>
      </c>
      <c r="L26" s="85">
        <v>1236</v>
      </c>
      <c r="M26" s="85">
        <v>59</v>
      </c>
      <c r="N26" s="85">
        <v>2</v>
      </c>
      <c r="O26" s="85">
        <v>17</v>
      </c>
      <c r="P26" s="85">
        <v>10</v>
      </c>
      <c r="Q26" s="85">
        <v>19</v>
      </c>
      <c r="R26" s="85">
        <v>41</v>
      </c>
      <c r="S26" s="86">
        <v>0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1442</v>
      </c>
      <c r="H27" s="83">
        <v>186</v>
      </c>
      <c r="I27" s="84">
        <v>0</v>
      </c>
      <c r="J27" s="85">
        <v>361</v>
      </c>
      <c r="K27" s="85">
        <v>0</v>
      </c>
      <c r="L27" s="85">
        <v>860</v>
      </c>
      <c r="M27" s="85">
        <v>11</v>
      </c>
      <c r="N27" s="85">
        <v>4</v>
      </c>
      <c r="O27" s="85">
        <v>5</v>
      </c>
      <c r="P27" s="85">
        <v>1</v>
      </c>
      <c r="Q27" s="85">
        <v>14</v>
      </c>
      <c r="R27" s="85">
        <v>0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18843</v>
      </c>
      <c r="H28" s="83">
        <v>6868</v>
      </c>
      <c r="I28" s="84">
        <v>6605</v>
      </c>
      <c r="J28" s="85">
        <v>1662</v>
      </c>
      <c r="K28" s="85">
        <v>680</v>
      </c>
      <c r="L28" s="85">
        <v>0</v>
      </c>
      <c r="M28" s="85">
        <v>279</v>
      </c>
      <c r="N28" s="85">
        <v>805</v>
      </c>
      <c r="O28" s="85">
        <v>104</v>
      </c>
      <c r="P28" s="85">
        <v>0</v>
      </c>
      <c r="Q28" s="85">
        <v>1840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15507</v>
      </c>
      <c r="H29" s="83">
        <v>10047</v>
      </c>
      <c r="I29" s="84">
        <v>1426</v>
      </c>
      <c r="J29" s="85">
        <v>442</v>
      </c>
      <c r="K29" s="85">
        <v>0</v>
      </c>
      <c r="L29" s="85">
        <v>931</v>
      </c>
      <c r="M29" s="85">
        <v>322</v>
      </c>
      <c r="N29" s="85">
        <v>182</v>
      </c>
      <c r="O29" s="85">
        <v>1306</v>
      </c>
      <c r="P29" s="85">
        <v>64</v>
      </c>
      <c r="Q29" s="85">
        <v>787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0</v>
      </c>
      <c r="H30" s="83">
        <v>0</v>
      </c>
      <c r="I30" s="84">
        <v>0</v>
      </c>
      <c r="J30" s="85"/>
      <c r="K30" s="85"/>
      <c r="L30" s="85">
        <v>0</v>
      </c>
      <c r="M30" s="85">
        <v>0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14896</v>
      </c>
      <c r="H31" s="83">
        <v>5305</v>
      </c>
      <c r="I31" s="84">
        <v>7362</v>
      </c>
      <c r="J31" s="85">
        <v>328</v>
      </c>
      <c r="K31" s="85">
        <v>0</v>
      </c>
      <c r="L31" s="85">
        <v>0</v>
      </c>
      <c r="M31" s="85">
        <v>11</v>
      </c>
      <c r="N31" s="85">
        <v>109</v>
      </c>
      <c r="O31" s="85">
        <v>316</v>
      </c>
      <c r="P31" s="85">
        <v>36</v>
      </c>
      <c r="Q31" s="85">
        <v>1429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1448</v>
      </c>
      <c r="H32" s="83">
        <v>592</v>
      </c>
      <c r="I32" s="84">
        <v>0</v>
      </c>
      <c r="J32" s="85"/>
      <c r="K32" s="85"/>
      <c r="L32" s="85">
        <v>0</v>
      </c>
      <c r="M32" s="85">
        <v>0</v>
      </c>
      <c r="N32" s="85">
        <v>126</v>
      </c>
      <c r="O32" s="85">
        <v>70</v>
      </c>
      <c r="P32" s="85">
        <v>12</v>
      </c>
      <c r="Q32" s="85">
        <v>648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6296</v>
      </c>
      <c r="H33" s="83">
        <v>2667</v>
      </c>
      <c r="I33" s="84">
        <v>0</v>
      </c>
      <c r="J33" s="85"/>
      <c r="K33" s="85"/>
      <c r="L33" s="85">
        <v>0</v>
      </c>
      <c r="M33" s="85">
        <v>26</v>
      </c>
      <c r="N33" s="85">
        <v>987</v>
      </c>
      <c r="O33" s="85">
        <v>2191</v>
      </c>
      <c r="P33" s="85">
        <v>190</v>
      </c>
      <c r="Q33" s="85">
        <v>235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147</v>
      </c>
      <c r="H34" s="83">
        <v>147</v>
      </c>
      <c r="I34" s="84">
        <v>0</v>
      </c>
      <c r="J34" s="85"/>
      <c r="K34" s="85"/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120</v>
      </c>
      <c r="H35" s="83">
        <v>120</v>
      </c>
      <c r="I35" s="84">
        <v>0</v>
      </c>
      <c r="J35" s="85"/>
      <c r="K35" s="85"/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1546</v>
      </c>
      <c r="H36" s="90">
        <v>962</v>
      </c>
      <c r="I36" s="91">
        <v>0</v>
      </c>
      <c r="J36" s="92"/>
      <c r="K36" s="92"/>
      <c r="L36" s="92">
        <v>584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134673</v>
      </c>
      <c r="H37" s="95">
        <v>47256</v>
      </c>
      <c r="I37" s="96">
        <v>36629</v>
      </c>
      <c r="J37" s="97">
        <v>5405</v>
      </c>
      <c r="K37" s="97">
        <v>748</v>
      </c>
      <c r="L37" s="97">
        <v>21334</v>
      </c>
      <c r="M37" s="97">
        <v>1704</v>
      </c>
      <c r="N37" s="97">
        <v>5435</v>
      </c>
      <c r="O37" s="97">
        <v>6344</v>
      </c>
      <c r="P37" s="97">
        <v>1806</v>
      </c>
      <c r="Q37" s="97">
        <v>7971</v>
      </c>
      <c r="R37" s="97">
        <v>41</v>
      </c>
      <c r="S37" s="98">
        <v>0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9376</v>
      </c>
      <c r="H39" s="83">
        <v>0</v>
      </c>
      <c r="I39" s="84">
        <v>9190</v>
      </c>
      <c r="J39" s="85">
        <v>0</v>
      </c>
      <c r="K39" s="85">
        <v>0</v>
      </c>
      <c r="L39" s="85">
        <v>0</v>
      </c>
      <c r="M39" s="85">
        <v>0</v>
      </c>
      <c r="N39" s="85">
        <v>186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5530</v>
      </c>
      <c r="H40" s="83">
        <v>0</v>
      </c>
      <c r="I40" s="84">
        <v>5297</v>
      </c>
      <c r="J40" s="85">
        <v>41</v>
      </c>
      <c r="K40" s="85">
        <v>120</v>
      </c>
      <c r="L40" s="85">
        <v>0</v>
      </c>
      <c r="M40" s="85">
        <v>0</v>
      </c>
      <c r="N40" s="85">
        <v>68</v>
      </c>
      <c r="O40" s="85">
        <v>0</v>
      </c>
      <c r="P40" s="85">
        <v>0</v>
      </c>
      <c r="Q40" s="85">
        <v>4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10151</v>
      </c>
      <c r="H41" s="83">
        <v>0</v>
      </c>
      <c r="I41" s="84">
        <v>10054</v>
      </c>
      <c r="J41" s="85">
        <v>6</v>
      </c>
      <c r="K41" s="85">
        <v>18</v>
      </c>
      <c r="L41" s="85">
        <v>0</v>
      </c>
      <c r="M41" s="85">
        <v>0</v>
      </c>
      <c r="N41" s="85">
        <v>9</v>
      </c>
      <c r="O41" s="85">
        <v>60</v>
      </c>
      <c r="P41" s="85">
        <v>0</v>
      </c>
      <c r="Q41" s="85">
        <v>4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644</v>
      </c>
      <c r="H42" s="83">
        <v>0</v>
      </c>
      <c r="I42" s="84">
        <v>593</v>
      </c>
      <c r="J42" s="85">
        <v>51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921</v>
      </c>
      <c r="H43" s="90">
        <v>0</v>
      </c>
      <c r="I43" s="91">
        <v>918</v>
      </c>
      <c r="J43" s="92">
        <v>0</v>
      </c>
      <c r="K43" s="92">
        <v>0</v>
      </c>
      <c r="L43" s="92">
        <v>0</v>
      </c>
      <c r="M43" s="92">
        <v>0</v>
      </c>
      <c r="N43" s="92">
        <v>2</v>
      </c>
      <c r="O43" s="92">
        <v>0</v>
      </c>
      <c r="P43" s="92">
        <v>0</v>
      </c>
      <c r="Q43" s="92">
        <v>1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26622</v>
      </c>
      <c r="H44" s="95">
        <v>0</v>
      </c>
      <c r="I44" s="96">
        <v>26052</v>
      </c>
      <c r="J44" s="97">
        <v>98</v>
      </c>
      <c r="K44" s="97">
        <v>138</v>
      </c>
      <c r="L44" s="97">
        <v>0</v>
      </c>
      <c r="M44" s="97">
        <v>0</v>
      </c>
      <c r="N44" s="97">
        <v>265</v>
      </c>
      <c r="O44" s="97">
        <v>60</v>
      </c>
      <c r="P44" s="97">
        <v>0</v>
      </c>
      <c r="Q44" s="97">
        <v>9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/>
      <c r="K45" s="85"/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901</v>
      </c>
      <c r="H46" s="83">
        <v>0</v>
      </c>
      <c r="I46" s="84">
        <v>0</v>
      </c>
      <c r="J46" s="85"/>
      <c r="K46" s="85"/>
      <c r="L46" s="85">
        <v>901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3696</v>
      </c>
      <c r="H47" s="83">
        <v>0</v>
      </c>
      <c r="I47" s="84">
        <v>0</v>
      </c>
      <c r="J47" s="85">
        <v>0</v>
      </c>
      <c r="K47" s="85">
        <v>0</v>
      </c>
      <c r="L47" s="85">
        <v>3287</v>
      </c>
      <c r="M47" s="85">
        <v>333</v>
      </c>
      <c r="N47" s="85">
        <v>1</v>
      </c>
      <c r="O47" s="85">
        <v>0</v>
      </c>
      <c r="P47" s="85">
        <v>45</v>
      </c>
      <c r="Q47" s="85">
        <v>30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1820</v>
      </c>
      <c r="H48" s="83">
        <v>0</v>
      </c>
      <c r="I48" s="84">
        <v>0</v>
      </c>
      <c r="J48" s="85">
        <v>0</v>
      </c>
      <c r="K48" s="85">
        <v>0</v>
      </c>
      <c r="L48" s="85">
        <v>1664</v>
      </c>
      <c r="M48" s="85">
        <v>120</v>
      </c>
      <c r="N48" s="85">
        <v>7</v>
      </c>
      <c r="O48" s="85">
        <v>0</v>
      </c>
      <c r="P48" s="85">
        <v>29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13936</v>
      </c>
      <c r="H49" s="90">
        <v>0</v>
      </c>
      <c r="I49" s="91">
        <v>0</v>
      </c>
      <c r="J49" s="92">
        <v>0</v>
      </c>
      <c r="K49" s="92">
        <v>0</v>
      </c>
      <c r="L49" s="92">
        <v>11479</v>
      </c>
      <c r="M49" s="92">
        <v>837</v>
      </c>
      <c r="N49" s="92">
        <v>327</v>
      </c>
      <c r="O49" s="92">
        <v>582</v>
      </c>
      <c r="P49" s="92">
        <v>711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20353</v>
      </c>
      <c r="H50" s="95">
        <v>0</v>
      </c>
      <c r="I50" s="96">
        <v>0</v>
      </c>
      <c r="J50" s="97">
        <v>0</v>
      </c>
      <c r="K50" s="97">
        <v>0</v>
      </c>
      <c r="L50" s="97">
        <v>17331</v>
      </c>
      <c r="M50" s="97">
        <v>1290</v>
      </c>
      <c r="N50" s="97">
        <v>335</v>
      </c>
      <c r="O50" s="97">
        <v>582</v>
      </c>
      <c r="P50" s="97">
        <v>785</v>
      </c>
      <c r="Q50" s="97">
        <v>30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7174</v>
      </c>
      <c r="H52" s="83">
        <v>0</v>
      </c>
      <c r="I52" s="84">
        <v>0</v>
      </c>
      <c r="J52" s="85">
        <v>0</v>
      </c>
      <c r="K52" s="85">
        <v>5067</v>
      </c>
      <c r="L52" s="85">
        <v>0</v>
      </c>
      <c r="M52" s="85">
        <v>0</v>
      </c>
      <c r="N52" s="85">
        <v>1713</v>
      </c>
      <c r="O52" s="85">
        <v>394</v>
      </c>
      <c r="P52" s="85">
        <v>0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13216</v>
      </c>
      <c r="H53" s="90">
        <v>0</v>
      </c>
      <c r="I53" s="91">
        <v>9321</v>
      </c>
      <c r="J53" s="92">
        <v>925</v>
      </c>
      <c r="K53" s="92">
        <v>1346</v>
      </c>
      <c r="L53" s="92">
        <v>227</v>
      </c>
      <c r="M53" s="92">
        <v>3</v>
      </c>
      <c r="N53" s="92">
        <v>31</v>
      </c>
      <c r="O53" s="92">
        <v>621</v>
      </c>
      <c r="P53" s="92">
        <v>47</v>
      </c>
      <c r="Q53" s="92">
        <v>695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20390</v>
      </c>
      <c r="H54" s="95">
        <v>0</v>
      </c>
      <c r="I54" s="96">
        <v>9321</v>
      </c>
      <c r="J54" s="97">
        <v>925</v>
      </c>
      <c r="K54" s="97">
        <v>6413</v>
      </c>
      <c r="L54" s="97">
        <v>227</v>
      </c>
      <c r="M54" s="97">
        <v>3</v>
      </c>
      <c r="N54" s="97">
        <v>1744</v>
      </c>
      <c r="O54" s="97">
        <v>1015</v>
      </c>
      <c r="P54" s="97">
        <v>47</v>
      </c>
      <c r="Q54" s="97">
        <v>695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/>
      <c r="K55" s="102"/>
      <c r="L55" s="102">
        <v>0</v>
      </c>
      <c r="M55" s="102">
        <v>0</v>
      </c>
      <c r="N55" s="102">
        <v>0</v>
      </c>
      <c r="O55" s="102"/>
      <c r="P55" s="102"/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5921</v>
      </c>
      <c r="H57" s="83">
        <v>0</v>
      </c>
      <c r="I57" s="84">
        <v>0</v>
      </c>
      <c r="J57" s="85"/>
      <c r="K57" s="85"/>
      <c r="L57" s="85">
        <v>0</v>
      </c>
      <c r="M57" s="85">
        <v>8</v>
      </c>
      <c r="N57" s="85">
        <v>2099</v>
      </c>
      <c r="O57" s="85">
        <v>3313</v>
      </c>
      <c r="P57" s="85">
        <v>377</v>
      </c>
      <c r="Q57" s="85">
        <v>122</v>
      </c>
      <c r="R57" s="85">
        <v>0</v>
      </c>
      <c r="S57" s="87">
        <v>2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700</v>
      </c>
      <c r="H58" s="83">
        <v>0</v>
      </c>
      <c r="I58" s="84">
        <v>0</v>
      </c>
      <c r="J58" s="85"/>
      <c r="K58" s="85"/>
      <c r="L58" s="85">
        <v>0</v>
      </c>
      <c r="M58" s="85">
        <v>0</v>
      </c>
      <c r="N58" s="85">
        <v>0</v>
      </c>
      <c r="O58" s="85"/>
      <c r="P58" s="85"/>
      <c r="Q58" s="85">
        <v>0</v>
      </c>
      <c r="R58" s="85">
        <v>0</v>
      </c>
      <c r="S58" s="87">
        <v>700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854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854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391</v>
      </c>
      <c r="H60" s="83">
        <v>0</v>
      </c>
      <c r="I60" s="84">
        <v>0</v>
      </c>
      <c r="J60" s="85"/>
      <c r="K60" s="85"/>
      <c r="L60" s="85">
        <v>0</v>
      </c>
      <c r="M60" s="85">
        <v>156</v>
      </c>
      <c r="N60" s="85">
        <v>0</v>
      </c>
      <c r="O60" s="85"/>
      <c r="P60" s="85"/>
      <c r="Q60" s="85">
        <v>0</v>
      </c>
      <c r="R60" s="85">
        <v>0</v>
      </c>
      <c r="S60" s="87">
        <v>235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1039</v>
      </c>
      <c r="H61" s="83">
        <v>0</v>
      </c>
      <c r="I61" s="84">
        <v>0</v>
      </c>
      <c r="J61" s="85"/>
      <c r="K61" s="85"/>
      <c r="L61" s="85">
        <v>0</v>
      </c>
      <c r="M61" s="85">
        <v>0</v>
      </c>
      <c r="N61" s="85">
        <v>0</v>
      </c>
      <c r="O61" s="85"/>
      <c r="P61" s="85"/>
      <c r="Q61" s="85">
        <v>0</v>
      </c>
      <c r="R61" s="85">
        <v>0</v>
      </c>
      <c r="S61" s="87">
        <v>1039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4026</v>
      </c>
      <c r="H62" s="83">
        <v>0</v>
      </c>
      <c r="I62" s="84">
        <v>0</v>
      </c>
      <c r="J62" s="85">
        <v>0</v>
      </c>
      <c r="K62" s="85">
        <v>1363</v>
      </c>
      <c r="L62" s="85">
        <v>0</v>
      </c>
      <c r="M62" s="85">
        <v>3</v>
      </c>
      <c r="N62" s="85">
        <v>1322</v>
      </c>
      <c r="O62" s="85">
        <v>646</v>
      </c>
      <c r="P62" s="85">
        <v>136</v>
      </c>
      <c r="Q62" s="85">
        <v>550</v>
      </c>
      <c r="R62" s="85">
        <v>0</v>
      </c>
      <c r="S62" s="87">
        <v>6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5914</v>
      </c>
      <c r="H63" s="83">
        <v>0</v>
      </c>
      <c r="I63" s="84">
        <v>0</v>
      </c>
      <c r="J63" s="85">
        <v>0</v>
      </c>
      <c r="K63" s="85">
        <v>1540</v>
      </c>
      <c r="L63" s="85">
        <v>0</v>
      </c>
      <c r="M63" s="85">
        <v>0</v>
      </c>
      <c r="N63" s="85">
        <v>1042</v>
      </c>
      <c r="O63" s="85">
        <v>966</v>
      </c>
      <c r="P63" s="85">
        <v>225</v>
      </c>
      <c r="Q63" s="85">
        <v>46</v>
      </c>
      <c r="R63" s="85">
        <v>0</v>
      </c>
      <c r="S63" s="87">
        <v>2095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44</v>
      </c>
      <c r="H64" s="83">
        <v>0</v>
      </c>
      <c r="I64" s="84">
        <v>0</v>
      </c>
      <c r="J64" s="85"/>
      <c r="K64" s="85"/>
      <c r="L64" s="85">
        <v>0</v>
      </c>
      <c r="M64" s="85">
        <v>0</v>
      </c>
      <c r="N64" s="85">
        <v>0</v>
      </c>
      <c r="O64" s="85"/>
      <c r="P64" s="85"/>
      <c r="Q64" s="85">
        <v>0</v>
      </c>
      <c r="R64" s="85">
        <v>0</v>
      </c>
      <c r="S64" s="87">
        <v>44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2679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878</v>
      </c>
      <c r="P65" s="85">
        <v>0</v>
      </c>
      <c r="Q65" s="85">
        <v>0</v>
      </c>
      <c r="R65" s="85">
        <v>0</v>
      </c>
      <c r="S65" s="87">
        <v>1801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95</v>
      </c>
      <c r="H66" s="83">
        <v>0</v>
      </c>
      <c r="I66" s="84">
        <v>0</v>
      </c>
      <c r="J66" s="85"/>
      <c r="K66" s="85"/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95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554</v>
      </c>
      <c r="H67" s="90">
        <v>0</v>
      </c>
      <c r="I67" s="91">
        <v>0</v>
      </c>
      <c r="J67" s="92"/>
      <c r="K67" s="92"/>
      <c r="L67" s="92">
        <v>0</v>
      </c>
      <c r="M67" s="92">
        <v>0</v>
      </c>
      <c r="N67" s="92">
        <v>74</v>
      </c>
      <c r="O67" s="92">
        <v>1</v>
      </c>
      <c r="P67" s="92">
        <v>8</v>
      </c>
      <c r="Q67" s="92">
        <v>335</v>
      </c>
      <c r="R67" s="92">
        <v>0</v>
      </c>
      <c r="S67" s="104">
        <v>136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22217</v>
      </c>
      <c r="H68" s="106">
        <v>0</v>
      </c>
      <c r="I68" s="107">
        <v>0</v>
      </c>
      <c r="J68" s="108">
        <v>0</v>
      </c>
      <c r="K68" s="108">
        <v>2903</v>
      </c>
      <c r="L68" s="108">
        <v>0</v>
      </c>
      <c r="M68" s="108">
        <v>167</v>
      </c>
      <c r="N68" s="108">
        <v>4537</v>
      </c>
      <c r="O68" s="108">
        <v>5804</v>
      </c>
      <c r="P68" s="108">
        <v>746</v>
      </c>
      <c r="Q68" s="108">
        <v>1053</v>
      </c>
      <c r="R68" s="108">
        <v>0</v>
      </c>
      <c r="S68" s="109">
        <v>7007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1073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1073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14470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52</v>
      </c>
      <c r="O70" s="85">
        <v>0</v>
      </c>
      <c r="P70" s="85">
        <v>660</v>
      </c>
      <c r="Q70" s="85">
        <v>157</v>
      </c>
      <c r="R70" s="85">
        <v>13601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5672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139</v>
      </c>
      <c r="O71" s="85">
        <v>0</v>
      </c>
      <c r="P71" s="85">
        <v>235</v>
      </c>
      <c r="Q71" s="85">
        <v>76</v>
      </c>
      <c r="R71" s="85">
        <v>5222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7105</v>
      </c>
      <c r="H72" s="83">
        <v>0</v>
      </c>
      <c r="I72" s="84">
        <v>0</v>
      </c>
      <c r="J72" s="85"/>
      <c r="K72" s="85"/>
      <c r="L72" s="85">
        <v>0</v>
      </c>
      <c r="M72" s="85">
        <v>24</v>
      </c>
      <c r="N72" s="85">
        <v>152</v>
      </c>
      <c r="O72" s="85">
        <v>226</v>
      </c>
      <c r="P72" s="85">
        <v>26</v>
      </c>
      <c r="Q72" s="85">
        <v>25</v>
      </c>
      <c r="R72" s="85">
        <v>6652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441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441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72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72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28833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24</v>
      </c>
      <c r="N75" s="108">
        <v>343</v>
      </c>
      <c r="O75" s="108">
        <v>226</v>
      </c>
      <c r="P75" s="108">
        <v>921</v>
      </c>
      <c r="Q75" s="108">
        <v>258</v>
      </c>
      <c r="R75" s="108">
        <v>27061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10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10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10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10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16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1</v>
      </c>
      <c r="P79" s="80">
        <v>0</v>
      </c>
      <c r="Q79" s="80">
        <v>15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35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35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483</v>
      </c>
      <c r="H81" s="83">
        <v>0</v>
      </c>
      <c r="I81" s="84">
        <v>0</v>
      </c>
      <c r="J81" s="85"/>
      <c r="K81" s="85"/>
      <c r="L81" s="85">
        <v>0</v>
      </c>
      <c r="M81" s="85">
        <v>313</v>
      </c>
      <c r="N81" s="85">
        <v>0</v>
      </c>
      <c r="O81" s="85"/>
      <c r="P81" s="85"/>
      <c r="Q81" s="85">
        <v>170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30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30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2808</v>
      </c>
      <c r="H85" s="83">
        <v>0</v>
      </c>
      <c r="I85" s="84">
        <v>0</v>
      </c>
      <c r="J85" s="85"/>
      <c r="K85" s="85"/>
      <c r="L85" s="85">
        <v>0</v>
      </c>
      <c r="M85" s="85">
        <v>1792</v>
      </c>
      <c r="N85" s="85">
        <v>325</v>
      </c>
      <c r="O85" s="85"/>
      <c r="P85" s="85"/>
      <c r="Q85" s="85">
        <v>691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346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346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850</v>
      </c>
      <c r="H87" s="83">
        <v>0</v>
      </c>
      <c r="I87" s="84">
        <v>0</v>
      </c>
      <c r="J87" s="85"/>
      <c r="K87" s="85"/>
      <c r="L87" s="85">
        <v>0</v>
      </c>
      <c r="M87" s="85">
        <v>1</v>
      </c>
      <c r="N87" s="85">
        <v>0</v>
      </c>
      <c r="O87" s="85"/>
      <c r="P87" s="85"/>
      <c r="Q87" s="85">
        <v>849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/>
      <c r="K88" s="85"/>
      <c r="L88" s="85">
        <v>0</v>
      </c>
      <c r="M88" s="85">
        <v>0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1660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701</v>
      </c>
      <c r="N92" s="85">
        <v>0</v>
      </c>
      <c r="O92" s="85">
        <v>727</v>
      </c>
      <c r="P92" s="85">
        <v>0</v>
      </c>
      <c r="Q92" s="85">
        <v>232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222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126</v>
      </c>
      <c r="P93" s="85">
        <v>0</v>
      </c>
      <c r="Q93" s="85">
        <v>96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424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424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462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462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1359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306</v>
      </c>
      <c r="O97" s="92"/>
      <c r="P97" s="92"/>
      <c r="Q97" s="92">
        <v>1053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8695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2807</v>
      </c>
      <c r="N98" s="108">
        <v>631</v>
      </c>
      <c r="O98" s="108">
        <v>1200</v>
      </c>
      <c r="P98" s="108">
        <v>0</v>
      </c>
      <c r="Q98" s="108">
        <v>4057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1</v>
      </c>
      <c r="H100" s="78">
        <v>0</v>
      </c>
      <c r="I100" s="79">
        <v>0</v>
      </c>
      <c r="J100" s="80"/>
      <c r="K100" s="80"/>
      <c r="L100" s="80">
        <v>1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10</v>
      </c>
      <c r="H101" s="83">
        <v>0</v>
      </c>
      <c r="I101" s="84">
        <v>0</v>
      </c>
      <c r="J101" s="85"/>
      <c r="K101" s="85"/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10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674</v>
      </c>
      <c r="H102" s="83">
        <v>669</v>
      </c>
      <c r="I102" s="84">
        <v>0</v>
      </c>
      <c r="J102" s="85">
        <v>0</v>
      </c>
      <c r="K102" s="85">
        <v>0</v>
      </c>
      <c r="L102" s="85">
        <v>3</v>
      </c>
      <c r="M102" s="85">
        <v>2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120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120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124</v>
      </c>
      <c r="H106" s="83">
        <v>0</v>
      </c>
      <c r="I106" s="84">
        <v>0</v>
      </c>
      <c r="J106" s="85"/>
      <c r="K106" s="85"/>
      <c r="L106" s="85">
        <v>0</v>
      </c>
      <c r="M106" s="85">
        <v>0</v>
      </c>
      <c r="N106" s="85">
        <v>0</v>
      </c>
      <c r="O106" s="85">
        <v>124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0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929</v>
      </c>
      <c r="H108" s="95">
        <v>669</v>
      </c>
      <c r="I108" s="96">
        <v>0</v>
      </c>
      <c r="J108" s="97">
        <v>0</v>
      </c>
      <c r="K108" s="97">
        <v>0</v>
      </c>
      <c r="L108" s="97">
        <v>4</v>
      </c>
      <c r="M108" s="97">
        <v>2</v>
      </c>
      <c r="N108" s="97">
        <v>0</v>
      </c>
      <c r="O108" s="97">
        <v>244</v>
      </c>
      <c r="P108" s="97">
        <v>0</v>
      </c>
      <c r="Q108" s="97">
        <v>10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262722</v>
      </c>
      <c r="H110" s="116">
        <v>47925</v>
      </c>
      <c r="I110" s="117">
        <v>72002</v>
      </c>
      <c r="J110" s="118">
        <v>6428</v>
      </c>
      <c r="K110" s="118">
        <v>10202</v>
      </c>
      <c r="L110" s="118">
        <v>38896</v>
      </c>
      <c r="M110" s="118">
        <v>5997</v>
      </c>
      <c r="N110" s="118">
        <v>13290</v>
      </c>
      <c r="O110" s="118">
        <v>15475</v>
      </c>
      <c r="P110" s="118">
        <v>4305</v>
      </c>
      <c r="Q110" s="118">
        <v>14093</v>
      </c>
      <c r="R110" s="118">
        <v>27102</v>
      </c>
      <c r="S110" s="119">
        <v>7007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18419</v>
      </c>
      <c r="H111" s="121">
        <v>3705</v>
      </c>
      <c r="I111" s="122">
        <v>1711</v>
      </c>
      <c r="J111" s="123">
        <v>738</v>
      </c>
      <c r="K111" s="123">
        <v>20</v>
      </c>
      <c r="L111" s="123">
        <v>10224</v>
      </c>
      <c r="M111" s="123">
        <v>533</v>
      </c>
      <c r="N111" s="123">
        <v>111</v>
      </c>
      <c r="O111" s="123">
        <v>33</v>
      </c>
      <c r="P111" s="123">
        <v>37</v>
      </c>
      <c r="Q111" s="123">
        <v>689</v>
      </c>
      <c r="R111" s="123">
        <v>482</v>
      </c>
      <c r="S111" s="124">
        <v>136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1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D0DA-97FF-496F-9300-BE482B455A18}">
  <sheetPr>
    <tabColor theme="1"/>
    <pageSetUpPr fitToPage="1"/>
  </sheetPr>
  <dimension ref="B1:Y117"/>
  <sheetViews>
    <sheetView showGridLines="0" zoomScale="85" zoomScaleNormal="85" zoomScaleSheetLayoutView="115" workbookViewId="0">
      <pane xSplit="5" ySplit="4" topLeftCell="F93" activePane="bottomRight" state="frozen"/>
      <selection activeCell="G108" sqref="G108:S108"/>
      <selection pane="topRight" activeCell="G108" sqref="G108:S108"/>
      <selection pane="bottomLeft" activeCell="G108" sqref="G108:S108"/>
      <selection pane="bottomRight" activeCell="K118" sqref="K118"/>
    </sheetView>
  </sheetViews>
  <sheetFormatPr defaultColWidth="9" defaultRowHeight="27.6" x14ac:dyDescent="0.25"/>
  <cols>
    <col min="1" max="1" width="1.59765625" style="17" customWidth="1"/>
    <col min="2" max="2" width="0.8984375" style="17" customWidth="1"/>
    <col min="3" max="4" width="0.59765625" style="24" customWidth="1"/>
    <col min="5" max="5" width="12.69921875" style="25" customWidth="1"/>
    <col min="6" max="6" width="0.5" style="25" customWidth="1"/>
    <col min="7" max="7" width="7.69921875" style="13" customWidth="1"/>
    <col min="8" max="18" width="6.5" style="24" customWidth="1"/>
    <col min="19" max="19" width="6.5" style="13" customWidth="1"/>
    <col min="20" max="16384" width="9" style="17"/>
  </cols>
  <sheetData>
    <row r="1" spans="2:25" s="1" customFormat="1" ht="15" customHeight="1" x14ac:dyDescent="0.4">
      <c r="E1" s="2"/>
      <c r="F1" s="2"/>
      <c r="G1" s="3"/>
      <c r="N1" s="4"/>
      <c r="P1" s="5"/>
      <c r="Q1" s="129" t="s">
        <v>107</v>
      </c>
      <c r="R1" s="129"/>
      <c r="S1" s="129"/>
    </row>
    <row r="2" spans="2:25" s="7" customFormat="1" ht="1.5" customHeight="1" x14ac:dyDescent="0.25">
      <c r="B2" s="37" t="s">
        <v>2</v>
      </c>
      <c r="C2" s="38"/>
      <c r="D2" s="38"/>
      <c r="E2" s="39"/>
      <c r="F2" s="39"/>
      <c r="G2" s="40"/>
      <c r="H2" s="38"/>
      <c r="I2" s="38"/>
      <c r="J2" s="38"/>
      <c r="K2" s="37"/>
      <c r="L2" s="37"/>
      <c r="M2" s="37"/>
      <c r="N2" s="41"/>
      <c r="O2" s="37"/>
      <c r="P2" s="37"/>
      <c r="Q2" s="40"/>
      <c r="R2" s="40"/>
      <c r="S2" s="42"/>
    </row>
    <row r="3" spans="2:25" s="7" customFormat="1" ht="18.899999999999999" customHeight="1" x14ac:dyDescent="0.2">
      <c r="B3" s="8" t="s">
        <v>93</v>
      </c>
      <c r="C3" s="9"/>
      <c r="D3" s="10"/>
      <c r="E3" s="11"/>
      <c r="F3" s="11"/>
      <c r="G3" s="12"/>
      <c r="H3" s="13"/>
      <c r="I3" s="13"/>
      <c r="J3" s="14"/>
      <c r="K3" s="14"/>
      <c r="L3" s="14"/>
      <c r="M3" s="14"/>
      <c r="N3" s="14"/>
      <c r="O3" s="14"/>
      <c r="P3" s="14"/>
      <c r="Q3" s="12"/>
      <c r="R3" s="12"/>
      <c r="S3" s="12" t="s">
        <v>3</v>
      </c>
      <c r="T3" s="6"/>
      <c r="U3" s="6"/>
      <c r="V3" s="6"/>
      <c r="W3" s="6"/>
      <c r="X3" s="6"/>
      <c r="Y3" s="6"/>
    </row>
    <row r="4" spans="2:25" ht="25.95" customHeight="1" x14ac:dyDescent="0.25">
      <c r="B4" s="130" t="s">
        <v>20</v>
      </c>
      <c r="C4" s="131"/>
      <c r="D4" s="131"/>
      <c r="E4" s="132"/>
      <c r="F4" s="30"/>
      <c r="G4" s="47" t="s">
        <v>4</v>
      </c>
      <c r="H4" s="48" t="s">
        <v>49</v>
      </c>
      <c r="I4" s="65" t="s">
        <v>0</v>
      </c>
      <c r="J4" s="49" t="s">
        <v>5</v>
      </c>
      <c r="K4" s="49" t="s">
        <v>46</v>
      </c>
      <c r="L4" s="49" t="s">
        <v>6</v>
      </c>
      <c r="M4" s="50" t="s">
        <v>7</v>
      </c>
      <c r="N4" s="50" t="s">
        <v>8</v>
      </c>
      <c r="O4" s="50" t="s">
        <v>9</v>
      </c>
      <c r="P4" s="49" t="s">
        <v>10</v>
      </c>
      <c r="Q4" s="50" t="s">
        <v>11</v>
      </c>
      <c r="R4" s="50" t="s">
        <v>25</v>
      </c>
      <c r="S4" s="63" t="s">
        <v>12</v>
      </c>
    </row>
    <row r="5" spans="2:25" ht="3.9" customHeight="1" x14ac:dyDescent="0.25">
      <c r="B5" s="28"/>
      <c r="C5" s="29"/>
      <c r="D5" s="29"/>
      <c r="E5" s="29"/>
      <c r="F5" s="30"/>
      <c r="G5" s="31"/>
      <c r="H5" s="66"/>
      <c r="I5" s="31"/>
      <c r="J5" s="31"/>
      <c r="K5" s="31"/>
      <c r="L5" s="31"/>
      <c r="M5" s="32"/>
      <c r="N5" s="32"/>
      <c r="O5" s="32"/>
      <c r="P5" s="31"/>
      <c r="Q5" s="32"/>
      <c r="R5" s="32"/>
      <c r="S5" s="33"/>
    </row>
    <row r="6" spans="2:25" ht="15.6" customHeight="1" x14ac:dyDescent="0.25">
      <c r="B6" s="34"/>
      <c r="C6" s="43"/>
      <c r="D6" s="35"/>
      <c r="E6" s="76" t="s">
        <v>21</v>
      </c>
      <c r="F6" s="19"/>
      <c r="G6" s="77">
        <v>8684</v>
      </c>
      <c r="H6" s="78">
        <v>1413</v>
      </c>
      <c r="I6" s="79">
        <v>0</v>
      </c>
      <c r="J6" s="80">
        <v>0</v>
      </c>
      <c r="K6" s="80">
        <v>0</v>
      </c>
      <c r="L6" s="80">
        <v>3346</v>
      </c>
      <c r="M6" s="80">
        <v>118</v>
      </c>
      <c r="N6" s="80">
        <v>1764</v>
      </c>
      <c r="O6" s="80">
        <v>561</v>
      </c>
      <c r="P6" s="80">
        <v>715</v>
      </c>
      <c r="Q6" s="80">
        <v>767</v>
      </c>
      <c r="R6" s="80">
        <v>0</v>
      </c>
      <c r="S6" s="81">
        <v>0</v>
      </c>
    </row>
    <row r="7" spans="2:25" ht="15.6" customHeight="1" x14ac:dyDescent="0.25">
      <c r="B7" s="26"/>
      <c r="C7" s="44"/>
      <c r="D7" s="18"/>
      <c r="E7" s="52" t="s">
        <v>121</v>
      </c>
      <c r="F7" s="19"/>
      <c r="G7" s="82">
        <v>0</v>
      </c>
      <c r="H7" s="83">
        <v>0</v>
      </c>
      <c r="I7" s="84">
        <v>0</v>
      </c>
      <c r="J7" s="85">
        <v>0</v>
      </c>
      <c r="K7" s="85">
        <v>0</v>
      </c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6">
        <v>0</v>
      </c>
    </row>
    <row r="8" spans="2:25" ht="15.6" customHeight="1" x14ac:dyDescent="0.25">
      <c r="B8" s="26"/>
      <c r="C8" s="44"/>
      <c r="D8" s="18"/>
      <c r="E8" s="52" t="s">
        <v>48</v>
      </c>
      <c r="F8" s="19"/>
      <c r="G8" s="82">
        <v>4388</v>
      </c>
      <c r="H8" s="83">
        <v>4388</v>
      </c>
      <c r="I8" s="84">
        <v>0</v>
      </c>
      <c r="J8" s="85">
        <v>0</v>
      </c>
      <c r="K8" s="85">
        <v>0</v>
      </c>
      <c r="L8" s="85">
        <v>0</v>
      </c>
      <c r="M8" s="85">
        <v>0</v>
      </c>
      <c r="N8" s="85">
        <v>0</v>
      </c>
      <c r="O8" s="85"/>
      <c r="P8" s="85"/>
      <c r="Q8" s="85">
        <v>0</v>
      </c>
      <c r="R8" s="85">
        <v>0</v>
      </c>
      <c r="S8" s="86">
        <v>0</v>
      </c>
    </row>
    <row r="9" spans="2:25" ht="15.6" customHeight="1" x14ac:dyDescent="0.25">
      <c r="B9" s="26"/>
      <c r="C9" s="44"/>
      <c r="D9" s="18"/>
      <c r="E9" s="52" t="s">
        <v>72</v>
      </c>
      <c r="F9" s="19"/>
      <c r="G9" s="82">
        <v>143</v>
      </c>
      <c r="H9" s="83">
        <v>143</v>
      </c>
      <c r="I9" s="84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/>
      <c r="P9" s="85"/>
      <c r="Q9" s="85">
        <v>0</v>
      </c>
      <c r="R9" s="85">
        <v>0</v>
      </c>
      <c r="S9" s="87">
        <v>0</v>
      </c>
    </row>
    <row r="10" spans="2:25" ht="15.6" customHeight="1" x14ac:dyDescent="0.25">
      <c r="B10" s="26"/>
      <c r="C10" s="44"/>
      <c r="D10" s="18"/>
      <c r="E10" s="52" t="s">
        <v>40</v>
      </c>
      <c r="F10" s="19"/>
      <c r="G10" s="82">
        <v>15</v>
      </c>
      <c r="H10" s="83">
        <v>0</v>
      </c>
      <c r="I10" s="84">
        <v>0</v>
      </c>
      <c r="J10" s="85">
        <v>0</v>
      </c>
      <c r="K10" s="85">
        <v>0</v>
      </c>
      <c r="L10" s="85">
        <v>0</v>
      </c>
      <c r="M10" s="85">
        <v>9</v>
      </c>
      <c r="N10" s="85">
        <v>0</v>
      </c>
      <c r="O10" s="85">
        <v>4</v>
      </c>
      <c r="P10" s="85">
        <v>0</v>
      </c>
      <c r="Q10" s="85">
        <v>2</v>
      </c>
      <c r="R10" s="85">
        <v>0</v>
      </c>
      <c r="S10" s="88">
        <v>0</v>
      </c>
    </row>
    <row r="11" spans="2:25" ht="15.6" customHeight="1" x14ac:dyDescent="0.25">
      <c r="B11" s="26"/>
      <c r="C11" s="44"/>
      <c r="D11" s="18"/>
      <c r="E11" s="52" t="s">
        <v>122</v>
      </c>
      <c r="F11" s="19"/>
      <c r="G11" s="82">
        <v>9801</v>
      </c>
      <c r="H11" s="83">
        <v>3062</v>
      </c>
      <c r="I11" s="84">
        <v>6109</v>
      </c>
      <c r="J11" s="85">
        <v>0</v>
      </c>
      <c r="K11" s="85">
        <v>0</v>
      </c>
      <c r="L11" s="85">
        <v>0</v>
      </c>
      <c r="M11" s="85">
        <v>10</v>
      </c>
      <c r="N11" s="85">
        <v>3</v>
      </c>
      <c r="O11" s="85">
        <v>617</v>
      </c>
      <c r="P11" s="85">
        <v>0</v>
      </c>
      <c r="Q11" s="85">
        <v>0</v>
      </c>
      <c r="R11" s="85">
        <v>0</v>
      </c>
      <c r="S11" s="88">
        <v>0</v>
      </c>
    </row>
    <row r="12" spans="2:25" ht="15.6" customHeight="1" x14ac:dyDescent="0.25">
      <c r="B12" s="26"/>
      <c r="C12" s="44"/>
      <c r="D12" s="18"/>
      <c r="E12" s="52" t="s">
        <v>71</v>
      </c>
      <c r="F12" s="19"/>
      <c r="G12" s="82">
        <v>0</v>
      </c>
      <c r="H12" s="83">
        <v>0</v>
      </c>
      <c r="I12" s="84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6">
        <v>0</v>
      </c>
    </row>
    <row r="13" spans="2:25" ht="15.6" customHeight="1" x14ac:dyDescent="0.25">
      <c r="B13" s="26"/>
      <c r="C13" s="44"/>
      <c r="D13" s="18"/>
      <c r="E13" s="52" t="s">
        <v>123</v>
      </c>
      <c r="F13" s="19"/>
      <c r="G13" s="82">
        <v>2245</v>
      </c>
      <c r="H13" s="83">
        <v>2157</v>
      </c>
      <c r="I13" s="84">
        <v>0</v>
      </c>
      <c r="J13" s="85">
        <v>0</v>
      </c>
      <c r="K13" s="85">
        <v>0</v>
      </c>
      <c r="L13" s="85">
        <v>0</v>
      </c>
      <c r="M13" s="85">
        <v>24</v>
      </c>
      <c r="N13" s="85">
        <v>0</v>
      </c>
      <c r="O13" s="85">
        <v>64</v>
      </c>
      <c r="P13" s="85">
        <v>0</v>
      </c>
      <c r="Q13" s="85">
        <v>0</v>
      </c>
      <c r="R13" s="85">
        <v>0</v>
      </c>
      <c r="S13" s="86">
        <v>0</v>
      </c>
    </row>
    <row r="14" spans="2:25" ht="15.6" customHeight="1" x14ac:dyDescent="0.25">
      <c r="B14" s="26"/>
      <c r="C14" s="44"/>
      <c r="D14" s="18"/>
      <c r="E14" s="52" t="s">
        <v>70</v>
      </c>
      <c r="F14" s="19"/>
      <c r="G14" s="82">
        <v>176</v>
      </c>
      <c r="H14" s="83">
        <v>170</v>
      </c>
      <c r="I14" s="84">
        <v>0</v>
      </c>
      <c r="J14" s="85">
        <v>0</v>
      </c>
      <c r="K14" s="85">
        <v>0</v>
      </c>
      <c r="L14" s="85">
        <v>0</v>
      </c>
      <c r="M14" s="85">
        <v>6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6">
        <v>0</v>
      </c>
    </row>
    <row r="15" spans="2:25" ht="15.6" customHeight="1" x14ac:dyDescent="0.25">
      <c r="B15" s="26"/>
      <c r="C15" s="44"/>
      <c r="D15" s="18"/>
      <c r="E15" s="52" t="s">
        <v>69</v>
      </c>
      <c r="F15" s="19"/>
      <c r="G15" s="82">
        <v>4697</v>
      </c>
      <c r="H15" s="83">
        <v>0</v>
      </c>
      <c r="I15" s="84">
        <v>0</v>
      </c>
      <c r="J15" s="85">
        <v>0</v>
      </c>
      <c r="K15" s="85">
        <v>0</v>
      </c>
      <c r="L15" s="85">
        <v>3380</v>
      </c>
      <c r="M15" s="85">
        <v>189</v>
      </c>
      <c r="N15" s="85">
        <v>385</v>
      </c>
      <c r="O15" s="85">
        <v>81</v>
      </c>
      <c r="P15" s="85">
        <v>87</v>
      </c>
      <c r="Q15" s="85">
        <v>575</v>
      </c>
      <c r="R15" s="85">
        <v>0</v>
      </c>
      <c r="S15" s="86">
        <v>0</v>
      </c>
    </row>
    <row r="16" spans="2:25" ht="15.6" customHeight="1" x14ac:dyDescent="0.25">
      <c r="B16" s="26"/>
      <c r="C16" s="44"/>
      <c r="D16" s="18"/>
      <c r="E16" s="52" t="s">
        <v>68</v>
      </c>
      <c r="F16" s="19"/>
      <c r="G16" s="82">
        <v>12070</v>
      </c>
      <c r="H16" s="83">
        <v>4873</v>
      </c>
      <c r="I16" s="84">
        <v>4825</v>
      </c>
      <c r="J16" s="85">
        <v>1289</v>
      </c>
      <c r="K16" s="85">
        <v>0</v>
      </c>
      <c r="L16" s="85">
        <v>0</v>
      </c>
      <c r="M16" s="85">
        <v>52</v>
      </c>
      <c r="N16" s="85">
        <v>349</v>
      </c>
      <c r="O16" s="85">
        <v>0</v>
      </c>
      <c r="P16" s="85">
        <v>0</v>
      </c>
      <c r="Q16" s="85">
        <v>682</v>
      </c>
      <c r="R16" s="85">
        <v>0</v>
      </c>
      <c r="S16" s="86">
        <v>0</v>
      </c>
    </row>
    <row r="17" spans="2:19" ht="15.6" customHeight="1" x14ac:dyDescent="0.25">
      <c r="B17" s="26"/>
      <c r="C17" s="44"/>
      <c r="D17" s="18"/>
      <c r="E17" s="52" t="s">
        <v>67</v>
      </c>
      <c r="F17" s="19"/>
      <c r="G17" s="82">
        <v>2484</v>
      </c>
      <c r="H17" s="83">
        <v>0</v>
      </c>
      <c r="I17" s="84">
        <v>2454</v>
      </c>
      <c r="J17" s="85">
        <v>0</v>
      </c>
      <c r="K17" s="85">
        <v>0</v>
      </c>
      <c r="L17" s="85">
        <v>0</v>
      </c>
      <c r="M17" s="85">
        <v>23</v>
      </c>
      <c r="N17" s="85">
        <v>5</v>
      </c>
      <c r="O17" s="85">
        <v>0</v>
      </c>
      <c r="P17" s="85">
        <v>0</v>
      </c>
      <c r="Q17" s="85">
        <v>2</v>
      </c>
      <c r="R17" s="85">
        <v>0</v>
      </c>
      <c r="S17" s="86">
        <v>0</v>
      </c>
    </row>
    <row r="18" spans="2:19" ht="15.6" customHeight="1" x14ac:dyDescent="0.25">
      <c r="B18" s="26"/>
      <c r="C18" s="44"/>
      <c r="D18" s="18"/>
      <c r="E18" s="52" t="s">
        <v>66</v>
      </c>
      <c r="F18" s="19"/>
      <c r="G18" s="82">
        <v>2</v>
      </c>
      <c r="H18" s="83">
        <v>0</v>
      </c>
      <c r="I18" s="84">
        <v>0</v>
      </c>
      <c r="J18" s="85">
        <v>0</v>
      </c>
      <c r="K18" s="85">
        <v>0</v>
      </c>
      <c r="L18" s="85">
        <v>0</v>
      </c>
      <c r="M18" s="85">
        <v>0</v>
      </c>
      <c r="N18" s="85">
        <v>2</v>
      </c>
      <c r="O18" s="85">
        <v>0</v>
      </c>
      <c r="P18" s="85">
        <v>0</v>
      </c>
      <c r="Q18" s="85">
        <v>0</v>
      </c>
      <c r="R18" s="85">
        <v>0</v>
      </c>
      <c r="S18" s="86">
        <v>0</v>
      </c>
    </row>
    <row r="19" spans="2:19" ht="15.6" customHeight="1" x14ac:dyDescent="0.25">
      <c r="B19" s="26"/>
      <c r="C19" s="44"/>
      <c r="D19" s="18"/>
      <c r="E19" s="52" t="s">
        <v>65</v>
      </c>
      <c r="F19" s="19"/>
      <c r="G19" s="82">
        <v>6846</v>
      </c>
      <c r="H19" s="83">
        <v>1313</v>
      </c>
      <c r="I19" s="84">
        <v>2876</v>
      </c>
      <c r="J19" s="85">
        <v>315</v>
      </c>
      <c r="K19" s="85">
        <v>26</v>
      </c>
      <c r="L19" s="85">
        <v>1775</v>
      </c>
      <c r="M19" s="85">
        <v>6</v>
      </c>
      <c r="N19" s="85">
        <v>349</v>
      </c>
      <c r="O19" s="85">
        <v>6</v>
      </c>
      <c r="P19" s="85">
        <v>43</v>
      </c>
      <c r="Q19" s="85">
        <v>137</v>
      </c>
      <c r="R19" s="85">
        <v>0</v>
      </c>
      <c r="S19" s="86">
        <v>0</v>
      </c>
    </row>
    <row r="20" spans="2:19" ht="15.6" customHeight="1" x14ac:dyDescent="0.25">
      <c r="B20" s="26"/>
      <c r="C20" s="44"/>
      <c r="D20" s="18"/>
      <c r="E20" s="52" t="s">
        <v>64</v>
      </c>
      <c r="F20" s="19"/>
      <c r="G20" s="82">
        <v>1231</v>
      </c>
      <c r="H20" s="83">
        <v>1</v>
      </c>
      <c r="I20" s="84">
        <v>269</v>
      </c>
      <c r="J20" s="85">
        <v>321</v>
      </c>
      <c r="K20" s="85">
        <v>0</v>
      </c>
      <c r="L20" s="85">
        <v>605</v>
      </c>
      <c r="M20" s="85">
        <v>1</v>
      </c>
      <c r="N20" s="85">
        <v>18</v>
      </c>
      <c r="O20" s="85">
        <v>0</v>
      </c>
      <c r="P20" s="85">
        <v>0</v>
      </c>
      <c r="Q20" s="85">
        <v>16</v>
      </c>
      <c r="R20" s="85">
        <v>0</v>
      </c>
      <c r="S20" s="86">
        <v>0</v>
      </c>
    </row>
    <row r="21" spans="2:19" ht="15.6" customHeight="1" x14ac:dyDescent="0.25">
      <c r="B21" s="26"/>
      <c r="C21" s="44"/>
      <c r="D21" s="18"/>
      <c r="E21" s="52" t="s">
        <v>63</v>
      </c>
      <c r="F21" s="19"/>
      <c r="G21" s="82">
        <v>2</v>
      </c>
      <c r="H21" s="83">
        <v>0</v>
      </c>
      <c r="I21" s="84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2</v>
      </c>
      <c r="R21" s="85">
        <v>0</v>
      </c>
      <c r="S21" s="86">
        <v>0</v>
      </c>
    </row>
    <row r="22" spans="2:19" ht="15.6" customHeight="1" x14ac:dyDescent="0.25">
      <c r="B22" s="26"/>
      <c r="C22" s="44"/>
      <c r="D22" s="18"/>
      <c r="E22" s="52" t="s">
        <v>62</v>
      </c>
      <c r="F22" s="19"/>
      <c r="G22" s="82">
        <v>0</v>
      </c>
      <c r="H22" s="83">
        <v>0</v>
      </c>
      <c r="I22" s="84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6">
        <v>0</v>
      </c>
    </row>
    <row r="23" spans="2:19" ht="15.6" customHeight="1" x14ac:dyDescent="0.25">
      <c r="B23" s="26"/>
      <c r="C23" s="44"/>
      <c r="D23" s="18"/>
      <c r="E23" s="52" t="s">
        <v>61</v>
      </c>
      <c r="F23" s="19"/>
      <c r="G23" s="82">
        <v>4962</v>
      </c>
      <c r="H23" s="83">
        <v>137</v>
      </c>
      <c r="I23" s="84">
        <v>0</v>
      </c>
      <c r="J23" s="85">
        <v>0</v>
      </c>
      <c r="K23" s="85">
        <v>0</v>
      </c>
      <c r="L23" s="85">
        <v>4090</v>
      </c>
      <c r="M23" s="85">
        <v>442</v>
      </c>
      <c r="N23" s="85">
        <v>39</v>
      </c>
      <c r="O23" s="85">
        <v>14</v>
      </c>
      <c r="P23" s="85">
        <v>32</v>
      </c>
      <c r="Q23" s="85">
        <v>208</v>
      </c>
      <c r="R23" s="85">
        <v>0</v>
      </c>
      <c r="S23" s="86">
        <v>0</v>
      </c>
    </row>
    <row r="24" spans="2:19" ht="15.6" customHeight="1" x14ac:dyDescent="0.25">
      <c r="B24" s="26"/>
      <c r="C24" s="44"/>
      <c r="D24" s="18"/>
      <c r="E24" s="52" t="s">
        <v>60</v>
      </c>
      <c r="F24" s="19"/>
      <c r="G24" s="82">
        <v>126</v>
      </c>
      <c r="H24" s="83">
        <v>81</v>
      </c>
      <c r="I24" s="84">
        <v>0</v>
      </c>
      <c r="J24" s="85">
        <v>0</v>
      </c>
      <c r="K24" s="85">
        <v>0</v>
      </c>
      <c r="L24" s="85">
        <v>42</v>
      </c>
      <c r="M24" s="85">
        <v>0</v>
      </c>
      <c r="N24" s="85">
        <v>0</v>
      </c>
      <c r="O24" s="85">
        <v>0</v>
      </c>
      <c r="P24" s="85">
        <v>0</v>
      </c>
      <c r="Q24" s="85">
        <v>3</v>
      </c>
      <c r="R24" s="85">
        <v>0</v>
      </c>
      <c r="S24" s="86">
        <v>0</v>
      </c>
    </row>
    <row r="25" spans="2:19" ht="15.6" customHeight="1" x14ac:dyDescent="0.25">
      <c r="B25" s="26"/>
      <c r="C25" s="44"/>
      <c r="D25" s="18"/>
      <c r="E25" s="52" t="s">
        <v>55</v>
      </c>
      <c r="F25" s="19"/>
      <c r="G25" s="82">
        <v>1072</v>
      </c>
      <c r="H25" s="83">
        <v>104</v>
      </c>
      <c r="I25" s="84">
        <v>0</v>
      </c>
      <c r="J25" s="85">
        <v>0</v>
      </c>
      <c r="K25" s="85">
        <v>0</v>
      </c>
      <c r="L25" s="85">
        <v>968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6">
        <v>0</v>
      </c>
    </row>
    <row r="26" spans="2:19" ht="15.6" customHeight="1" x14ac:dyDescent="0.25">
      <c r="B26" s="26"/>
      <c r="C26" s="44"/>
      <c r="D26" s="18"/>
      <c r="E26" s="52" t="s">
        <v>59</v>
      </c>
      <c r="F26" s="19"/>
      <c r="G26" s="82">
        <v>1067</v>
      </c>
      <c r="H26" s="83">
        <v>83</v>
      </c>
      <c r="I26" s="84">
        <v>9</v>
      </c>
      <c r="J26" s="85">
        <v>0</v>
      </c>
      <c r="K26" s="85">
        <v>14</v>
      </c>
      <c r="L26" s="85">
        <v>829</v>
      </c>
      <c r="M26" s="85">
        <v>26</v>
      </c>
      <c r="N26" s="85">
        <v>2</v>
      </c>
      <c r="O26" s="85">
        <v>18</v>
      </c>
      <c r="P26" s="85">
        <v>6</v>
      </c>
      <c r="Q26" s="85">
        <v>23</v>
      </c>
      <c r="R26" s="85">
        <v>57</v>
      </c>
      <c r="S26" s="86">
        <v>0</v>
      </c>
    </row>
    <row r="27" spans="2:19" ht="15.6" customHeight="1" x14ac:dyDescent="0.25">
      <c r="B27" s="26"/>
      <c r="C27" s="44"/>
      <c r="D27" s="18"/>
      <c r="E27" s="52" t="s">
        <v>56</v>
      </c>
      <c r="F27" s="19"/>
      <c r="G27" s="82">
        <v>1139</v>
      </c>
      <c r="H27" s="83">
        <v>64</v>
      </c>
      <c r="I27" s="84">
        <v>1</v>
      </c>
      <c r="J27" s="85">
        <v>311</v>
      </c>
      <c r="K27" s="85">
        <v>0</v>
      </c>
      <c r="L27" s="85">
        <v>721</v>
      </c>
      <c r="M27" s="85">
        <v>8</v>
      </c>
      <c r="N27" s="85">
        <v>2</v>
      </c>
      <c r="O27" s="85">
        <v>6</v>
      </c>
      <c r="P27" s="85">
        <v>3</v>
      </c>
      <c r="Q27" s="85">
        <v>22</v>
      </c>
      <c r="R27" s="85">
        <v>1</v>
      </c>
      <c r="S27" s="86">
        <v>0</v>
      </c>
    </row>
    <row r="28" spans="2:19" ht="15.6" customHeight="1" x14ac:dyDescent="0.25">
      <c r="B28" s="26"/>
      <c r="C28" s="44"/>
      <c r="D28" s="18"/>
      <c r="E28" s="52" t="s">
        <v>1</v>
      </c>
      <c r="F28" s="19"/>
      <c r="G28" s="82">
        <v>20194</v>
      </c>
      <c r="H28" s="83">
        <v>7906</v>
      </c>
      <c r="I28" s="84">
        <v>6882</v>
      </c>
      <c r="J28" s="85">
        <v>2051</v>
      </c>
      <c r="K28" s="85">
        <v>727</v>
      </c>
      <c r="L28" s="85">
        <v>0</v>
      </c>
      <c r="M28" s="85">
        <v>205</v>
      </c>
      <c r="N28" s="85">
        <v>627</v>
      </c>
      <c r="O28" s="85">
        <v>16</v>
      </c>
      <c r="P28" s="85">
        <v>0</v>
      </c>
      <c r="Q28" s="85">
        <v>1780</v>
      </c>
      <c r="R28" s="85">
        <v>0</v>
      </c>
      <c r="S28" s="86">
        <v>0</v>
      </c>
    </row>
    <row r="29" spans="2:19" ht="15.6" customHeight="1" x14ac:dyDescent="0.25">
      <c r="B29" s="26"/>
      <c r="C29" s="44"/>
      <c r="D29" s="18"/>
      <c r="E29" s="52" t="s">
        <v>58</v>
      </c>
      <c r="F29" s="19"/>
      <c r="G29" s="82">
        <v>14653</v>
      </c>
      <c r="H29" s="83">
        <v>9476</v>
      </c>
      <c r="I29" s="84">
        <v>1697</v>
      </c>
      <c r="J29" s="85">
        <v>264</v>
      </c>
      <c r="K29" s="85">
        <v>0</v>
      </c>
      <c r="L29" s="85">
        <v>718</v>
      </c>
      <c r="M29" s="85">
        <v>344</v>
      </c>
      <c r="N29" s="85">
        <v>167</v>
      </c>
      <c r="O29" s="85">
        <v>1126</v>
      </c>
      <c r="P29" s="85">
        <v>61</v>
      </c>
      <c r="Q29" s="85">
        <v>800</v>
      </c>
      <c r="R29" s="85">
        <v>0</v>
      </c>
      <c r="S29" s="86">
        <v>0</v>
      </c>
    </row>
    <row r="30" spans="2:19" ht="15.6" customHeight="1" x14ac:dyDescent="0.25">
      <c r="B30" s="26"/>
      <c r="C30" s="44"/>
      <c r="D30" s="18"/>
      <c r="E30" s="54" t="s">
        <v>124</v>
      </c>
      <c r="F30" s="19"/>
      <c r="G30" s="82">
        <v>5</v>
      </c>
      <c r="H30" s="83">
        <v>0</v>
      </c>
      <c r="I30" s="84">
        <v>0</v>
      </c>
      <c r="J30" s="85">
        <v>0</v>
      </c>
      <c r="K30" s="85">
        <v>0</v>
      </c>
      <c r="L30" s="85">
        <v>0</v>
      </c>
      <c r="M30" s="85">
        <v>5</v>
      </c>
      <c r="N30" s="85">
        <v>0</v>
      </c>
      <c r="O30" s="85"/>
      <c r="P30" s="85"/>
      <c r="Q30" s="85">
        <v>0</v>
      </c>
      <c r="R30" s="85">
        <v>0</v>
      </c>
      <c r="S30" s="86">
        <v>0</v>
      </c>
    </row>
    <row r="31" spans="2:19" ht="15.6" customHeight="1" x14ac:dyDescent="0.25">
      <c r="B31" s="26"/>
      <c r="C31" s="44"/>
      <c r="D31" s="18"/>
      <c r="E31" s="54" t="s">
        <v>125</v>
      </c>
      <c r="F31" s="19"/>
      <c r="G31" s="82">
        <v>14558</v>
      </c>
      <c r="H31" s="83">
        <v>5929</v>
      </c>
      <c r="I31" s="84">
        <v>6745</v>
      </c>
      <c r="J31" s="85">
        <v>249</v>
      </c>
      <c r="K31" s="85">
        <v>0</v>
      </c>
      <c r="L31" s="85">
        <v>0</v>
      </c>
      <c r="M31" s="85">
        <v>27</v>
      </c>
      <c r="N31" s="85">
        <v>87</v>
      </c>
      <c r="O31" s="85">
        <v>277</v>
      </c>
      <c r="P31" s="85">
        <v>24</v>
      </c>
      <c r="Q31" s="85">
        <v>1220</v>
      </c>
      <c r="R31" s="85">
        <v>0</v>
      </c>
      <c r="S31" s="86">
        <v>0</v>
      </c>
    </row>
    <row r="32" spans="2:19" ht="15.6" customHeight="1" x14ac:dyDescent="0.25">
      <c r="B32" s="26"/>
      <c r="C32" s="44"/>
      <c r="D32" s="18"/>
      <c r="E32" s="52" t="s">
        <v>80</v>
      </c>
      <c r="F32" s="19"/>
      <c r="G32" s="82">
        <v>1219</v>
      </c>
      <c r="H32" s="83">
        <v>352</v>
      </c>
      <c r="I32" s="84">
        <v>0</v>
      </c>
      <c r="J32" s="85">
        <v>0</v>
      </c>
      <c r="K32" s="85">
        <v>0</v>
      </c>
      <c r="L32" s="85">
        <v>0</v>
      </c>
      <c r="M32" s="85">
        <v>0</v>
      </c>
      <c r="N32" s="85">
        <v>261</v>
      </c>
      <c r="O32" s="85">
        <v>95</v>
      </c>
      <c r="P32" s="85">
        <v>3</v>
      </c>
      <c r="Q32" s="85">
        <v>508</v>
      </c>
      <c r="R32" s="85">
        <v>0</v>
      </c>
      <c r="S32" s="86">
        <v>0</v>
      </c>
    </row>
    <row r="33" spans="2:19" ht="15.6" customHeight="1" x14ac:dyDescent="0.25">
      <c r="B33" s="26"/>
      <c r="C33" s="44"/>
      <c r="D33" s="18"/>
      <c r="E33" s="52" t="s">
        <v>91</v>
      </c>
      <c r="F33" s="19"/>
      <c r="G33" s="82">
        <v>5979</v>
      </c>
      <c r="H33" s="83">
        <v>2531</v>
      </c>
      <c r="I33" s="84">
        <v>0</v>
      </c>
      <c r="J33" s="85">
        <v>0</v>
      </c>
      <c r="K33" s="85">
        <v>0</v>
      </c>
      <c r="L33" s="85">
        <v>0</v>
      </c>
      <c r="M33" s="85">
        <v>24</v>
      </c>
      <c r="N33" s="85">
        <v>742</v>
      </c>
      <c r="O33" s="85">
        <v>2187</v>
      </c>
      <c r="P33" s="85">
        <v>149</v>
      </c>
      <c r="Q33" s="85">
        <v>346</v>
      </c>
      <c r="R33" s="85">
        <v>0</v>
      </c>
      <c r="S33" s="86">
        <v>0</v>
      </c>
    </row>
    <row r="34" spans="2:19" ht="15.6" customHeight="1" x14ac:dyDescent="0.25">
      <c r="B34" s="26"/>
      <c r="C34" s="44"/>
      <c r="D34" s="18"/>
      <c r="E34" s="52" t="s">
        <v>95</v>
      </c>
      <c r="F34" s="19"/>
      <c r="G34" s="82">
        <v>41</v>
      </c>
      <c r="H34" s="83">
        <v>41</v>
      </c>
      <c r="I34" s="84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6">
        <v>0</v>
      </c>
    </row>
    <row r="35" spans="2:19" ht="15.6" customHeight="1" x14ac:dyDescent="0.25">
      <c r="B35" s="26"/>
      <c r="C35" s="44"/>
      <c r="D35" s="18"/>
      <c r="E35" s="52" t="s">
        <v>57</v>
      </c>
      <c r="F35" s="19"/>
      <c r="G35" s="82">
        <v>126</v>
      </c>
      <c r="H35" s="83">
        <v>126</v>
      </c>
      <c r="I35" s="84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</row>
    <row r="36" spans="2:19" ht="15.6" customHeight="1" x14ac:dyDescent="0.25">
      <c r="B36" s="26"/>
      <c r="C36" s="45"/>
      <c r="D36" s="46"/>
      <c r="E36" s="53" t="s">
        <v>81</v>
      </c>
      <c r="F36" s="19"/>
      <c r="G36" s="89">
        <v>1063</v>
      </c>
      <c r="H36" s="90">
        <v>227</v>
      </c>
      <c r="I36" s="91">
        <v>0</v>
      </c>
      <c r="J36" s="92">
        <v>0</v>
      </c>
      <c r="K36" s="92">
        <v>0</v>
      </c>
      <c r="L36" s="92">
        <v>833</v>
      </c>
      <c r="M36" s="92">
        <v>0</v>
      </c>
      <c r="N36" s="92">
        <v>0</v>
      </c>
      <c r="O36" s="92">
        <v>0</v>
      </c>
      <c r="P36" s="92">
        <v>3</v>
      </c>
      <c r="Q36" s="92">
        <v>0</v>
      </c>
      <c r="R36" s="92">
        <v>0</v>
      </c>
      <c r="S36" s="93">
        <v>0</v>
      </c>
    </row>
    <row r="37" spans="2:19" ht="25.05" customHeight="1" x14ac:dyDescent="0.25">
      <c r="B37" s="133" t="s">
        <v>50</v>
      </c>
      <c r="C37" s="134"/>
      <c r="D37" s="134"/>
      <c r="E37" s="135"/>
      <c r="F37" s="36"/>
      <c r="G37" s="94">
        <v>118988</v>
      </c>
      <c r="H37" s="95">
        <v>44577</v>
      </c>
      <c r="I37" s="96">
        <v>31867</v>
      </c>
      <c r="J37" s="97">
        <v>4800</v>
      </c>
      <c r="K37" s="97">
        <v>767</v>
      </c>
      <c r="L37" s="97">
        <v>17307</v>
      </c>
      <c r="M37" s="97">
        <v>1519</v>
      </c>
      <c r="N37" s="97">
        <v>4802</v>
      </c>
      <c r="O37" s="97">
        <v>5072</v>
      </c>
      <c r="P37" s="97">
        <v>1126</v>
      </c>
      <c r="Q37" s="97">
        <v>7093</v>
      </c>
      <c r="R37" s="97">
        <v>58</v>
      </c>
      <c r="S37" s="98">
        <v>0</v>
      </c>
    </row>
    <row r="38" spans="2:19" ht="15.6" customHeight="1" x14ac:dyDescent="0.25">
      <c r="B38" s="27"/>
      <c r="C38" s="56"/>
      <c r="D38" s="57"/>
      <c r="E38" s="51" t="s">
        <v>17</v>
      </c>
      <c r="F38" s="19"/>
      <c r="G38" s="82">
        <v>0</v>
      </c>
      <c r="H38" s="83">
        <v>0</v>
      </c>
      <c r="I38" s="84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6">
        <v>0</v>
      </c>
    </row>
    <row r="39" spans="2:19" ht="15.6" customHeight="1" x14ac:dyDescent="0.25">
      <c r="B39" s="26"/>
      <c r="C39" s="44"/>
      <c r="D39" s="18"/>
      <c r="E39" s="54" t="s">
        <v>14</v>
      </c>
      <c r="F39" s="20"/>
      <c r="G39" s="82">
        <v>10242</v>
      </c>
      <c r="H39" s="83">
        <v>0</v>
      </c>
      <c r="I39" s="84">
        <v>9987</v>
      </c>
      <c r="J39" s="85">
        <v>0</v>
      </c>
      <c r="K39" s="85">
        <v>0</v>
      </c>
      <c r="L39" s="85">
        <v>0</v>
      </c>
      <c r="M39" s="85">
        <v>0</v>
      </c>
      <c r="N39" s="85">
        <v>255</v>
      </c>
      <c r="O39" s="85"/>
      <c r="P39" s="85"/>
      <c r="Q39" s="85">
        <v>0</v>
      </c>
      <c r="R39" s="85">
        <v>0</v>
      </c>
      <c r="S39" s="86">
        <v>0</v>
      </c>
    </row>
    <row r="40" spans="2:19" ht="15.6" customHeight="1" x14ac:dyDescent="0.25">
      <c r="B40" s="26"/>
      <c r="C40" s="44"/>
      <c r="D40" s="18"/>
      <c r="E40" s="54" t="s">
        <v>15</v>
      </c>
      <c r="F40" s="20"/>
      <c r="G40" s="82">
        <v>5890</v>
      </c>
      <c r="H40" s="83">
        <v>0</v>
      </c>
      <c r="I40" s="84">
        <v>5642</v>
      </c>
      <c r="J40" s="85">
        <v>17</v>
      </c>
      <c r="K40" s="85">
        <v>145</v>
      </c>
      <c r="L40" s="85">
        <v>0</v>
      </c>
      <c r="M40" s="85">
        <v>0</v>
      </c>
      <c r="N40" s="85">
        <v>86</v>
      </c>
      <c r="O40" s="85">
        <v>0</v>
      </c>
      <c r="P40" s="85">
        <v>0</v>
      </c>
      <c r="Q40" s="85">
        <v>0</v>
      </c>
      <c r="R40" s="85">
        <v>0</v>
      </c>
      <c r="S40" s="86">
        <v>0</v>
      </c>
    </row>
    <row r="41" spans="2:19" ht="15.6" customHeight="1" x14ac:dyDescent="0.25">
      <c r="B41" s="26"/>
      <c r="C41" s="44"/>
      <c r="D41" s="18"/>
      <c r="E41" s="54" t="s">
        <v>39</v>
      </c>
      <c r="F41" s="20"/>
      <c r="G41" s="82">
        <v>12225</v>
      </c>
      <c r="H41" s="83">
        <v>0</v>
      </c>
      <c r="I41" s="84">
        <v>12158</v>
      </c>
      <c r="J41" s="85">
        <v>5</v>
      </c>
      <c r="K41" s="85">
        <v>12</v>
      </c>
      <c r="L41" s="85">
        <v>0</v>
      </c>
      <c r="M41" s="85">
        <v>0</v>
      </c>
      <c r="N41" s="85">
        <v>7</v>
      </c>
      <c r="O41" s="85">
        <v>36</v>
      </c>
      <c r="P41" s="85">
        <v>0</v>
      </c>
      <c r="Q41" s="85">
        <v>7</v>
      </c>
      <c r="R41" s="85">
        <v>0</v>
      </c>
      <c r="S41" s="86">
        <v>0</v>
      </c>
    </row>
    <row r="42" spans="2:19" ht="15.6" customHeight="1" x14ac:dyDescent="0.25">
      <c r="B42" s="26"/>
      <c r="C42" s="74"/>
      <c r="D42" s="75"/>
      <c r="E42" s="54" t="s">
        <v>88</v>
      </c>
      <c r="F42" s="20"/>
      <c r="G42" s="82">
        <v>796</v>
      </c>
      <c r="H42" s="83">
        <v>0</v>
      </c>
      <c r="I42" s="84">
        <v>736</v>
      </c>
      <c r="J42" s="85">
        <v>60</v>
      </c>
      <c r="K42" s="85">
        <v>0</v>
      </c>
      <c r="L42" s="85">
        <v>0</v>
      </c>
      <c r="M42" s="85">
        <v>0</v>
      </c>
      <c r="N42" s="85">
        <v>0</v>
      </c>
      <c r="O42" s="85"/>
      <c r="P42" s="85"/>
      <c r="Q42" s="85">
        <v>0</v>
      </c>
      <c r="R42" s="85">
        <v>0</v>
      </c>
      <c r="S42" s="86">
        <v>0</v>
      </c>
    </row>
    <row r="43" spans="2:19" ht="15.6" customHeight="1" x14ac:dyDescent="0.25">
      <c r="B43" s="26"/>
      <c r="C43" s="72"/>
      <c r="D43" s="73"/>
      <c r="E43" s="55" t="s">
        <v>79</v>
      </c>
      <c r="F43" s="20"/>
      <c r="G43" s="89">
        <v>1018</v>
      </c>
      <c r="H43" s="90">
        <v>0</v>
      </c>
      <c r="I43" s="91">
        <v>1018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3">
        <v>0</v>
      </c>
    </row>
    <row r="44" spans="2:19" ht="25.05" customHeight="1" x14ac:dyDescent="0.25">
      <c r="B44" s="136" t="s">
        <v>120</v>
      </c>
      <c r="C44" s="137"/>
      <c r="D44" s="137"/>
      <c r="E44" s="138"/>
      <c r="F44" s="71"/>
      <c r="G44" s="94">
        <v>30171</v>
      </c>
      <c r="H44" s="95">
        <v>0</v>
      </c>
      <c r="I44" s="96">
        <v>29541</v>
      </c>
      <c r="J44" s="97">
        <v>82</v>
      </c>
      <c r="K44" s="97">
        <v>157</v>
      </c>
      <c r="L44" s="97">
        <v>0</v>
      </c>
      <c r="M44" s="97">
        <v>0</v>
      </c>
      <c r="N44" s="97">
        <v>348</v>
      </c>
      <c r="O44" s="97">
        <v>36</v>
      </c>
      <c r="P44" s="97">
        <v>0</v>
      </c>
      <c r="Q44" s="97">
        <v>7</v>
      </c>
      <c r="R44" s="97">
        <v>0</v>
      </c>
      <c r="S44" s="98">
        <v>0</v>
      </c>
    </row>
    <row r="45" spans="2:19" ht="15.6" customHeight="1" x14ac:dyDescent="0.25">
      <c r="B45" s="26"/>
      <c r="C45" s="44"/>
      <c r="D45" s="18"/>
      <c r="E45" s="52" t="s">
        <v>82</v>
      </c>
      <c r="F45" s="19"/>
      <c r="G45" s="82">
        <v>0</v>
      </c>
      <c r="H45" s="83">
        <v>0</v>
      </c>
      <c r="I45" s="84">
        <v>0</v>
      </c>
      <c r="J45" s="85">
        <v>0</v>
      </c>
      <c r="K45" s="85">
        <v>0</v>
      </c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6">
        <v>0</v>
      </c>
    </row>
    <row r="46" spans="2:19" ht="15.6" customHeight="1" x14ac:dyDescent="0.25">
      <c r="B46" s="26"/>
      <c r="C46" s="44"/>
      <c r="D46" s="18"/>
      <c r="E46" s="52" t="s">
        <v>83</v>
      </c>
      <c r="F46" s="19"/>
      <c r="G46" s="82">
        <v>1122</v>
      </c>
      <c r="H46" s="83">
        <v>0</v>
      </c>
      <c r="I46" s="84">
        <v>0</v>
      </c>
      <c r="J46" s="85">
        <v>0</v>
      </c>
      <c r="K46" s="85">
        <v>0</v>
      </c>
      <c r="L46" s="85">
        <v>1122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6">
        <v>0</v>
      </c>
    </row>
    <row r="47" spans="2:19" ht="15.6" customHeight="1" x14ac:dyDescent="0.25">
      <c r="B47" s="26"/>
      <c r="C47" s="44"/>
      <c r="D47" s="18"/>
      <c r="E47" s="52" t="s">
        <v>26</v>
      </c>
      <c r="F47" s="19"/>
      <c r="G47" s="82">
        <v>3181</v>
      </c>
      <c r="H47" s="83">
        <v>0</v>
      </c>
      <c r="I47" s="84">
        <v>0</v>
      </c>
      <c r="J47" s="85">
        <v>0</v>
      </c>
      <c r="K47" s="85">
        <v>0</v>
      </c>
      <c r="L47" s="85">
        <v>2939</v>
      </c>
      <c r="M47" s="85">
        <v>199</v>
      </c>
      <c r="N47" s="85">
        <v>2</v>
      </c>
      <c r="O47" s="85">
        <v>0</v>
      </c>
      <c r="P47" s="85">
        <v>5</v>
      </c>
      <c r="Q47" s="85">
        <v>36</v>
      </c>
      <c r="R47" s="85">
        <v>0</v>
      </c>
      <c r="S47" s="86">
        <v>0</v>
      </c>
    </row>
    <row r="48" spans="2:19" ht="15.6" customHeight="1" x14ac:dyDescent="0.25">
      <c r="B48" s="26"/>
      <c r="C48" s="44"/>
      <c r="D48" s="18"/>
      <c r="E48" s="54" t="s">
        <v>27</v>
      </c>
      <c r="F48" s="20"/>
      <c r="G48" s="82">
        <v>1499</v>
      </c>
      <c r="H48" s="83">
        <v>0</v>
      </c>
      <c r="I48" s="84">
        <v>0</v>
      </c>
      <c r="J48" s="85">
        <v>0</v>
      </c>
      <c r="K48" s="85">
        <v>0</v>
      </c>
      <c r="L48" s="85">
        <v>1183</v>
      </c>
      <c r="M48" s="85">
        <v>266</v>
      </c>
      <c r="N48" s="85">
        <v>18</v>
      </c>
      <c r="O48" s="85">
        <v>0</v>
      </c>
      <c r="P48" s="85">
        <v>32</v>
      </c>
      <c r="Q48" s="85">
        <v>0</v>
      </c>
      <c r="R48" s="85">
        <v>0</v>
      </c>
      <c r="S48" s="86">
        <v>0</v>
      </c>
    </row>
    <row r="49" spans="2:19" ht="15.6" customHeight="1" x14ac:dyDescent="0.25">
      <c r="B49" s="26"/>
      <c r="C49" s="45"/>
      <c r="D49" s="46"/>
      <c r="E49" s="55" t="s">
        <v>1</v>
      </c>
      <c r="F49" s="20"/>
      <c r="G49" s="89">
        <v>12926</v>
      </c>
      <c r="H49" s="90">
        <v>0</v>
      </c>
      <c r="I49" s="91">
        <v>0</v>
      </c>
      <c r="J49" s="92">
        <v>0</v>
      </c>
      <c r="K49" s="92">
        <v>0</v>
      </c>
      <c r="L49" s="92">
        <v>9554</v>
      </c>
      <c r="M49" s="92">
        <v>1497</v>
      </c>
      <c r="N49" s="92">
        <v>361</v>
      </c>
      <c r="O49" s="92">
        <v>627</v>
      </c>
      <c r="P49" s="92">
        <v>887</v>
      </c>
      <c r="Q49" s="92">
        <v>0</v>
      </c>
      <c r="R49" s="92">
        <v>0</v>
      </c>
      <c r="S49" s="93">
        <v>0</v>
      </c>
    </row>
    <row r="50" spans="2:19" ht="25.05" customHeight="1" x14ac:dyDescent="0.25">
      <c r="B50" s="136" t="s">
        <v>16</v>
      </c>
      <c r="C50" s="137"/>
      <c r="D50" s="137"/>
      <c r="E50" s="138"/>
      <c r="F50" s="22"/>
      <c r="G50" s="94">
        <v>18728</v>
      </c>
      <c r="H50" s="95">
        <v>0</v>
      </c>
      <c r="I50" s="96">
        <v>0</v>
      </c>
      <c r="J50" s="97">
        <v>0</v>
      </c>
      <c r="K50" s="97">
        <v>0</v>
      </c>
      <c r="L50" s="97">
        <v>14798</v>
      </c>
      <c r="M50" s="97">
        <v>1962</v>
      </c>
      <c r="N50" s="97">
        <v>381</v>
      </c>
      <c r="O50" s="97">
        <v>627</v>
      </c>
      <c r="P50" s="97">
        <v>924</v>
      </c>
      <c r="Q50" s="97">
        <v>36</v>
      </c>
      <c r="R50" s="97">
        <v>0</v>
      </c>
      <c r="S50" s="98">
        <v>0</v>
      </c>
    </row>
    <row r="51" spans="2:19" s="21" customFormat="1" ht="15.6" customHeight="1" x14ac:dyDescent="0.25">
      <c r="B51" s="26"/>
      <c r="C51" s="43"/>
      <c r="D51" s="18"/>
      <c r="E51" s="51" t="s">
        <v>126</v>
      </c>
      <c r="F51" s="19"/>
      <c r="G51" s="82">
        <v>0</v>
      </c>
      <c r="H51" s="83">
        <v>0</v>
      </c>
      <c r="I51" s="84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6">
        <v>0</v>
      </c>
    </row>
    <row r="52" spans="2:19" s="21" customFormat="1" ht="15.6" customHeight="1" x14ac:dyDescent="0.25">
      <c r="B52" s="26"/>
      <c r="C52" s="44"/>
      <c r="D52" s="18"/>
      <c r="E52" s="52" t="s">
        <v>19</v>
      </c>
      <c r="F52" s="19"/>
      <c r="G52" s="82">
        <v>7182</v>
      </c>
      <c r="H52" s="83">
        <v>0</v>
      </c>
      <c r="I52" s="84">
        <v>0</v>
      </c>
      <c r="J52" s="85">
        <v>0</v>
      </c>
      <c r="K52" s="85">
        <v>5162</v>
      </c>
      <c r="L52" s="85">
        <v>0</v>
      </c>
      <c r="M52" s="85">
        <v>0</v>
      </c>
      <c r="N52" s="85">
        <v>1601</v>
      </c>
      <c r="O52" s="85">
        <v>419</v>
      </c>
      <c r="P52" s="85">
        <v>0</v>
      </c>
      <c r="Q52" s="85">
        <v>0</v>
      </c>
      <c r="R52" s="85">
        <v>0</v>
      </c>
      <c r="S52" s="86">
        <v>0</v>
      </c>
    </row>
    <row r="53" spans="2:19" s="21" customFormat="1" ht="15.6" customHeight="1" x14ac:dyDescent="0.25">
      <c r="B53" s="26"/>
      <c r="C53" s="45"/>
      <c r="D53" s="46"/>
      <c r="E53" s="53" t="s">
        <v>53</v>
      </c>
      <c r="F53" s="19"/>
      <c r="G53" s="89">
        <v>17610</v>
      </c>
      <c r="H53" s="90">
        <v>0</v>
      </c>
      <c r="I53" s="91">
        <v>13595</v>
      </c>
      <c r="J53" s="92">
        <v>741</v>
      </c>
      <c r="K53" s="92">
        <v>1282</v>
      </c>
      <c r="L53" s="92">
        <v>237</v>
      </c>
      <c r="M53" s="92">
        <v>0</v>
      </c>
      <c r="N53" s="92">
        <v>30</v>
      </c>
      <c r="O53" s="92">
        <v>1004</v>
      </c>
      <c r="P53" s="92">
        <v>37</v>
      </c>
      <c r="Q53" s="92">
        <v>684</v>
      </c>
      <c r="R53" s="92">
        <v>0</v>
      </c>
      <c r="S53" s="93">
        <v>0</v>
      </c>
    </row>
    <row r="54" spans="2:19" ht="25.05" customHeight="1" x14ac:dyDescent="0.25">
      <c r="B54" s="136" t="s">
        <v>77</v>
      </c>
      <c r="C54" s="137"/>
      <c r="D54" s="137"/>
      <c r="E54" s="138"/>
      <c r="F54" s="22"/>
      <c r="G54" s="94">
        <v>24792</v>
      </c>
      <c r="H54" s="95">
        <v>0</v>
      </c>
      <c r="I54" s="96">
        <v>13595</v>
      </c>
      <c r="J54" s="97">
        <v>741</v>
      </c>
      <c r="K54" s="97">
        <v>6444</v>
      </c>
      <c r="L54" s="97">
        <v>237</v>
      </c>
      <c r="M54" s="97">
        <v>0</v>
      </c>
      <c r="N54" s="97">
        <v>1631</v>
      </c>
      <c r="O54" s="97">
        <v>1423</v>
      </c>
      <c r="P54" s="97">
        <v>37</v>
      </c>
      <c r="Q54" s="97">
        <v>684</v>
      </c>
      <c r="R54" s="97">
        <v>0</v>
      </c>
      <c r="S54" s="98">
        <v>0</v>
      </c>
    </row>
    <row r="55" spans="2:19" s="21" customFormat="1" ht="15.6" customHeight="1" x14ac:dyDescent="0.25">
      <c r="B55" s="26"/>
      <c r="C55" s="68"/>
      <c r="D55" s="69"/>
      <c r="E55" s="67" t="s">
        <v>126</v>
      </c>
      <c r="F55" s="19"/>
      <c r="G55" s="99">
        <v>0</v>
      </c>
      <c r="H55" s="100">
        <v>0</v>
      </c>
      <c r="I55" s="101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3">
        <v>0</v>
      </c>
    </row>
    <row r="56" spans="2:19" ht="25.05" customHeight="1" x14ac:dyDescent="0.25">
      <c r="B56" s="136" t="s">
        <v>74</v>
      </c>
      <c r="C56" s="137"/>
      <c r="D56" s="137"/>
      <c r="E56" s="138"/>
      <c r="F56" s="22"/>
      <c r="G56" s="94">
        <v>0</v>
      </c>
      <c r="H56" s="95">
        <v>0</v>
      </c>
      <c r="I56" s="96">
        <v>0</v>
      </c>
      <c r="J56" s="97">
        <v>0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8">
        <v>0</v>
      </c>
    </row>
    <row r="57" spans="2:19" ht="14.85" customHeight="1" x14ac:dyDescent="0.25">
      <c r="B57" s="26"/>
      <c r="C57" s="44"/>
      <c r="D57" s="18"/>
      <c r="E57" s="54" t="s">
        <v>51</v>
      </c>
      <c r="F57" s="20"/>
      <c r="G57" s="82">
        <v>3927</v>
      </c>
      <c r="H57" s="83">
        <v>0</v>
      </c>
      <c r="I57" s="84">
        <v>0</v>
      </c>
      <c r="J57" s="85">
        <v>0</v>
      </c>
      <c r="K57" s="85">
        <v>0</v>
      </c>
      <c r="L57" s="85">
        <v>0</v>
      </c>
      <c r="M57" s="85">
        <v>80</v>
      </c>
      <c r="N57" s="85">
        <v>2252</v>
      </c>
      <c r="O57" s="85">
        <v>1283</v>
      </c>
      <c r="P57" s="85">
        <v>214</v>
      </c>
      <c r="Q57" s="85">
        <v>97</v>
      </c>
      <c r="R57" s="85">
        <v>0</v>
      </c>
      <c r="S57" s="87">
        <v>1</v>
      </c>
    </row>
    <row r="58" spans="2:19" ht="14.85" customHeight="1" x14ac:dyDescent="0.25">
      <c r="B58" s="26"/>
      <c r="C58" s="44"/>
      <c r="D58" s="18"/>
      <c r="E58" s="52" t="s">
        <v>52</v>
      </c>
      <c r="F58" s="20"/>
      <c r="G58" s="82">
        <v>151</v>
      </c>
      <c r="H58" s="83">
        <v>0</v>
      </c>
      <c r="I58" s="84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7">
        <v>151</v>
      </c>
    </row>
    <row r="59" spans="2:19" ht="14.85" customHeight="1" x14ac:dyDescent="0.25">
      <c r="B59" s="26"/>
      <c r="C59" s="44"/>
      <c r="D59" s="18"/>
      <c r="E59" s="54" t="s">
        <v>40</v>
      </c>
      <c r="F59" s="20"/>
      <c r="G59" s="82">
        <v>573</v>
      </c>
      <c r="H59" s="83">
        <v>0</v>
      </c>
      <c r="I59" s="84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7">
        <v>573</v>
      </c>
    </row>
    <row r="60" spans="2:19" ht="14.85" customHeight="1" x14ac:dyDescent="0.25">
      <c r="B60" s="26"/>
      <c r="C60" s="44"/>
      <c r="D60" s="18"/>
      <c r="E60" s="52" t="s">
        <v>122</v>
      </c>
      <c r="F60" s="19"/>
      <c r="G60" s="82">
        <v>624</v>
      </c>
      <c r="H60" s="83">
        <v>0</v>
      </c>
      <c r="I60" s="84">
        <v>0</v>
      </c>
      <c r="J60" s="85">
        <v>0</v>
      </c>
      <c r="K60" s="85">
        <v>0</v>
      </c>
      <c r="L60" s="85">
        <v>0</v>
      </c>
      <c r="M60" s="85">
        <v>414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7">
        <v>210</v>
      </c>
    </row>
    <row r="61" spans="2:19" ht="14.85" customHeight="1" x14ac:dyDescent="0.25">
      <c r="B61" s="26"/>
      <c r="C61" s="44"/>
      <c r="D61" s="18"/>
      <c r="E61" s="52" t="s">
        <v>41</v>
      </c>
      <c r="F61" s="19"/>
      <c r="G61" s="82">
        <v>1847</v>
      </c>
      <c r="H61" s="83">
        <v>0</v>
      </c>
      <c r="I61" s="84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7">
        <v>1847</v>
      </c>
    </row>
    <row r="62" spans="2:19" ht="14.85" customHeight="1" x14ac:dyDescent="0.25">
      <c r="B62" s="26"/>
      <c r="C62" s="44"/>
      <c r="D62" s="18"/>
      <c r="E62" s="54" t="s">
        <v>32</v>
      </c>
      <c r="F62" s="20"/>
      <c r="G62" s="82">
        <v>3836</v>
      </c>
      <c r="H62" s="83">
        <v>0</v>
      </c>
      <c r="I62" s="84">
        <v>0</v>
      </c>
      <c r="J62" s="85">
        <v>0</v>
      </c>
      <c r="K62" s="85">
        <v>1286</v>
      </c>
      <c r="L62" s="85">
        <v>0</v>
      </c>
      <c r="M62" s="85">
        <v>4</v>
      </c>
      <c r="N62" s="85">
        <v>1369</v>
      </c>
      <c r="O62" s="85">
        <v>658</v>
      </c>
      <c r="P62" s="85">
        <v>119</v>
      </c>
      <c r="Q62" s="85">
        <v>391</v>
      </c>
      <c r="R62" s="85">
        <v>0</v>
      </c>
      <c r="S62" s="87">
        <v>9</v>
      </c>
    </row>
    <row r="63" spans="2:19" ht="14.85" customHeight="1" x14ac:dyDescent="0.25">
      <c r="B63" s="26"/>
      <c r="C63" s="44"/>
      <c r="D63" s="18"/>
      <c r="E63" s="52" t="s">
        <v>54</v>
      </c>
      <c r="F63" s="62"/>
      <c r="G63" s="82">
        <v>6489</v>
      </c>
      <c r="H63" s="83">
        <v>0</v>
      </c>
      <c r="I63" s="84">
        <v>0</v>
      </c>
      <c r="J63" s="85">
        <v>0</v>
      </c>
      <c r="K63" s="85">
        <v>1739</v>
      </c>
      <c r="L63" s="85">
        <v>0</v>
      </c>
      <c r="M63" s="85">
        <v>0</v>
      </c>
      <c r="N63" s="85">
        <v>954</v>
      </c>
      <c r="O63" s="85">
        <v>799</v>
      </c>
      <c r="P63" s="85">
        <v>177</v>
      </c>
      <c r="Q63" s="85">
        <v>54</v>
      </c>
      <c r="R63" s="85">
        <v>0</v>
      </c>
      <c r="S63" s="87">
        <v>2766</v>
      </c>
    </row>
    <row r="64" spans="2:19" ht="14.85" customHeight="1" x14ac:dyDescent="0.25">
      <c r="B64" s="26"/>
      <c r="C64" s="44"/>
      <c r="D64" s="18"/>
      <c r="E64" s="52" t="s">
        <v>42</v>
      </c>
      <c r="F64" s="19"/>
      <c r="G64" s="82">
        <v>84</v>
      </c>
      <c r="H64" s="83">
        <v>0</v>
      </c>
      <c r="I64" s="84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7">
        <v>84</v>
      </c>
    </row>
    <row r="65" spans="2:19" ht="14.85" customHeight="1" x14ac:dyDescent="0.25">
      <c r="B65" s="26"/>
      <c r="C65" s="44"/>
      <c r="D65" s="18"/>
      <c r="E65" s="52" t="s">
        <v>14</v>
      </c>
      <c r="F65" s="19"/>
      <c r="G65" s="82">
        <v>3128</v>
      </c>
      <c r="H65" s="83">
        <v>0</v>
      </c>
      <c r="I65" s="84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1492</v>
      </c>
      <c r="P65" s="85">
        <v>0</v>
      </c>
      <c r="Q65" s="85">
        <v>0</v>
      </c>
      <c r="R65" s="85">
        <v>0</v>
      </c>
      <c r="S65" s="87">
        <v>1636</v>
      </c>
    </row>
    <row r="66" spans="2:19" ht="14.85" customHeight="1" x14ac:dyDescent="0.25">
      <c r="B66" s="26"/>
      <c r="C66" s="44"/>
      <c r="D66" s="18"/>
      <c r="E66" s="54" t="s">
        <v>43</v>
      </c>
      <c r="F66" s="20"/>
      <c r="G66" s="82">
        <v>61</v>
      </c>
      <c r="H66" s="83">
        <v>0</v>
      </c>
      <c r="I66" s="84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7">
        <v>61</v>
      </c>
    </row>
    <row r="67" spans="2:19" ht="14.85" customHeight="1" x14ac:dyDescent="0.25">
      <c r="B67" s="26"/>
      <c r="C67" s="45"/>
      <c r="D67" s="46"/>
      <c r="E67" s="55" t="s">
        <v>47</v>
      </c>
      <c r="F67" s="20"/>
      <c r="G67" s="89">
        <v>583</v>
      </c>
      <c r="H67" s="90">
        <v>0</v>
      </c>
      <c r="I67" s="91">
        <v>0</v>
      </c>
      <c r="J67" s="92">
        <v>0</v>
      </c>
      <c r="K67" s="92">
        <v>0</v>
      </c>
      <c r="L67" s="92">
        <v>0</v>
      </c>
      <c r="M67" s="92">
        <v>0</v>
      </c>
      <c r="N67" s="92">
        <v>80</v>
      </c>
      <c r="O67" s="92">
        <v>4</v>
      </c>
      <c r="P67" s="92">
        <v>1</v>
      </c>
      <c r="Q67" s="92">
        <v>323</v>
      </c>
      <c r="R67" s="92">
        <v>0</v>
      </c>
      <c r="S67" s="104">
        <v>175</v>
      </c>
    </row>
    <row r="68" spans="2:19" ht="25.05" customHeight="1" x14ac:dyDescent="0.25">
      <c r="B68" s="136" t="s">
        <v>18</v>
      </c>
      <c r="C68" s="137"/>
      <c r="D68" s="137"/>
      <c r="E68" s="138"/>
      <c r="F68" s="22"/>
      <c r="G68" s="105">
        <v>21303</v>
      </c>
      <c r="H68" s="106">
        <v>0</v>
      </c>
      <c r="I68" s="107">
        <v>0</v>
      </c>
      <c r="J68" s="108">
        <v>0</v>
      </c>
      <c r="K68" s="108">
        <v>3025</v>
      </c>
      <c r="L68" s="108">
        <v>0</v>
      </c>
      <c r="M68" s="108">
        <v>498</v>
      </c>
      <c r="N68" s="108">
        <v>4655</v>
      </c>
      <c r="O68" s="108">
        <v>4236</v>
      </c>
      <c r="P68" s="108">
        <v>511</v>
      </c>
      <c r="Q68" s="108">
        <v>865</v>
      </c>
      <c r="R68" s="108">
        <v>0</v>
      </c>
      <c r="S68" s="109">
        <v>7513</v>
      </c>
    </row>
    <row r="69" spans="2:19" ht="14.85" customHeight="1" x14ac:dyDescent="0.25">
      <c r="B69" s="26"/>
      <c r="C69" s="44"/>
      <c r="D69" s="18"/>
      <c r="E69" s="54" t="s">
        <v>84</v>
      </c>
      <c r="F69" s="20"/>
      <c r="G69" s="82">
        <v>1266</v>
      </c>
      <c r="H69" s="83">
        <v>0</v>
      </c>
      <c r="I69" s="84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1266</v>
      </c>
      <c r="S69" s="87">
        <v>0</v>
      </c>
    </row>
    <row r="70" spans="2:19" ht="14.85" customHeight="1" x14ac:dyDescent="0.25">
      <c r="B70" s="26"/>
      <c r="C70" s="44"/>
      <c r="D70" s="18"/>
      <c r="E70" s="54" t="s">
        <v>30</v>
      </c>
      <c r="F70" s="20"/>
      <c r="G70" s="82">
        <v>13600</v>
      </c>
      <c r="H70" s="83">
        <v>0</v>
      </c>
      <c r="I70" s="84">
        <v>0</v>
      </c>
      <c r="J70" s="85"/>
      <c r="K70" s="85"/>
      <c r="L70" s="85">
        <v>0</v>
      </c>
      <c r="M70" s="85">
        <v>0</v>
      </c>
      <c r="N70" s="85">
        <v>58</v>
      </c>
      <c r="O70" s="85">
        <v>1</v>
      </c>
      <c r="P70" s="85">
        <v>930</v>
      </c>
      <c r="Q70" s="85">
        <v>106</v>
      </c>
      <c r="R70" s="85">
        <v>12505</v>
      </c>
      <c r="S70" s="87">
        <v>0</v>
      </c>
    </row>
    <row r="71" spans="2:19" ht="14.85" customHeight="1" x14ac:dyDescent="0.25">
      <c r="B71" s="26"/>
      <c r="C71" s="44"/>
      <c r="D71" s="18"/>
      <c r="E71" s="54" t="s">
        <v>24</v>
      </c>
      <c r="F71" s="20"/>
      <c r="G71" s="82">
        <v>7192</v>
      </c>
      <c r="H71" s="83">
        <v>0</v>
      </c>
      <c r="I71" s="84">
        <v>0</v>
      </c>
      <c r="J71" s="85">
        <v>0</v>
      </c>
      <c r="K71" s="85">
        <v>0</v>
      </c>
      <c r="L71" s="85">
        <v>0</v>
      </c>
      <c r="M71" s="85">
        <v>0</v>
      </c>
      <c r="N71" s="85">
        <v>209</v>
      </c>
      <c r="O71" s="85">
        <v>1</v>
      </c>
      <c r="P71" s="85">
        <v>211</v>
      </c>
      <c r="Q71" s="85">
        <v>98</v>
      </c>
      <c r="R71" s="85">
        <v>6673</v>
      </c>
      <c r="S71" s="87">
        <v>0</v>
      </c>
    </row>
    <row r="72" spans="2:19" ht="14.85" customHeight="1" x14ac:dyDescent="0.25">
      <c r="B72" s="26"/>
      <c r="C72" s="44"/>
      <c r="D72" s="18"/>
      <c r="E72" s="54" t="s">
        <v>33</v>
      </c>
      <c r="F72" s="20"/>
      <c r="G72" s="82">
        <v>7363</v>
      </c>
      <c r="H72" s="83">
        <v>0</v>
      </c>
      <c r="I72" s="84">
        <v>0</v>
      </c>
      <c r="J72" s="85"/>
      <c r="K72" s="85"/>
      <c r="L72" s="85">
        <v>0</v>
      </c>
      <c r="M72" s="85">
        <v>7</v>
      </c>
      <c r="N72" s="85">
        <v>250</v>
      </c>
      <c r="O72" s="85">
        <v>373</v>
      </c>
      <c r="P72" s="85">
        <v>48</v>
      </c>
      <c r="Q72" s="85">
        <v>36</v>
      </c>
      <c r="R72" s="85">
        <v>6649</v>
      </c>
      <c r="S72" s="87">
        <v>0</v>
      </c>
    </row>
    <row r="73" spans="2:19" ht="14.85" customHeight="1" x14ac:dyDescent="0.25">
      <c r="B73" s="26"/>
      <c r="C73" s="44"/>
      <c r="D73" s="18"/>
      <c r="E73" s="54" t="s">
        <v>85</v>
      </c>
      <c r="F73" s="20"/>
      <c r="G73" s="82">
        <v>323</v>
      </c>
      <c r="H73" s="83">
        <v>0</v>
      </c>
      <c r="I73" s="84">
        <v>0</v>
      </c>
      <c r="J73" s="85"/>
      <c r="K73" s="85"/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323</v>
      </c>
      <c r="S73" s="87">
        <v>0</v>
      </c>
    </row>
    <row r="74" spans="2:19" ht="14.85" customHeight="1" x14ac:dyDescent="0.25">
      <c r="B74" s="60"/>
      <c r="C74" s="45"/>
      <c r="D74" s="46"/>
      <c r="E74" s="70" t="s">
        <v>28</v>
      </c>
      <c r="F74" s="20"/>
      <c r="G74" s="89">
        <v>95</v>
      </c>
      <c r="H74" s="90">
        <v>0</v>
      </c>
      <c r="I74" s="91">
        <v>0</v>
      </c>
      <c r="J74" s="92"/>
      <c r="K74" s="92"/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95</v>
      </c>
      <c r="S74" s="104">
        <v>0</v>
      </c>
    </row>
    <row r="75" spans="2:19" ht="25.05" customHeight="1" x14ac:dyDescent="0.25">
      <c r="B75" s="136" t="s">
        <v>73</v>
      </c>
      <c r="C75" s="137"/>
      <c r="D75" s="137"/>
      <c r="E75" s="138"/>
      <c r="F75" s="22"/>
      <c r="G75" s="105">
        <v>29839</v>
      </c>
      <c r="H75" s="106">
        <v>0</v>
      </c>
      <c r="I75" s="107">
        <v>0</v>
      </c>
      <c r="J75" s="108">
        <v>0</v>
      </c>
      <c r="K75" s="108">
        <v>0</v>
      </c>
      <c r="L75" s="108">
        <v>0</v>
      </c>
      <c r="M75" s="108">
        <v>7</v>
      </c>
      <c r="N75" s="108">
        <v>517</v>
      </c>
      <c r="O75" s="108">
        <v>375</v>
      </c>
      <c r="P75" s="108">
        <v>1189</v>
      </c>
      <c r="Q75" s="108">
        <v>240</v>
      </c>
      <c r="R75" s="108">
        <v>27511</v>
      </c>
      <c r="S75" s="109">
        <v>0</v>
      </c>
    </row>
    <row r="76" spans="2:19" s="21" customFormat="1" ht="14.85" customHeight="1" x14ac:dyDescent="0.25">
      <c r="B76" s="26"/>
      <c r="C76" s="68"/>
      <c r="D76" s="69"/>
      <c r="E76" s="67" t="s">
        <v>55</v>
      </c>
      <c r="F76" s="19"/>
      <c r="G76" s="99">
        <v>30</v>
      </c>
      <c r="H76" s="100">
        <v>0</v>
      </c>
      <c r="I76" s="101">
        <v>0</v>
      </c>
      <c r="J76" s="102"/>
      <c r="K76" s="102"/>
      <c r="L76" s="102">
        <v>0</v>
      </c>
      <c r="M76" s="102">
        <v>0</v>
      </c>
      <c r="N76" s="102">
        <v>0</v>
      </c>
      <c r="O76" s="102"/>
      <c r="P76" s="102"/>
      <c r="Q76" s="102">
        <v>30</v>
      </c>
      <c r="R76" s="102">
        <v>0</v>
      </c>
      <c r="S76" s="103">
        <v>0</v>
      </c>
    </row>
    <row r="77" spans="2:19" ht="25.95" customHeight="1" x14ac:dyDescent="0.25">
      <c r="B77" s="136" t="s">
        <v>89</v>
      </c>
      <c r="C77" s="137"/>
      <c r="D77" s="137"/>
      <c r="E77" s="138"/>
      <c r="F77" s="22"/>
      <c r="G77" s="94">
        <v>30</v>
      </c>
      <c r="H77" s="95">
        <v>0</v>
      </c>
      <c r="I77" s="96">
        <v>0</v>
      </c>
      <c r="J77" s="97">
        <v>0</v>
      </c>
      <c r="K77" s="97">
        <v>0</v>
      </c>
      <c r="L77" s="97">
        <v>0</v>
      </c>
      <c r="M77" s="97">
        <v>0</v>
      </c>
      <c r="N77" s="97">
        <v>0</v>
      </c>
      <c r="O77" s="97">
        <v>0</v>
      </c>
      <c r="P77" s="97">
        <v>0</v>
      </c>
      <c r="Q77" s="97">
        <v>30</v>
      </c>
      <c r="R77" s="97">
        <v>0</v>
      </c>
      <c r="S77" s="98">
        <v>0</v>
      </c>
    </row>
    <row r="78" spans="2:19" ht="3.9" customHeight="1" x14ac:dyDescent="0.25">
      <c r="B78" s="61"/>
      <c r="C78" s="61"/>
      <c r="D78" s="61"/>
      <c r="E78" s="61"/>
      <c r="F78" s="22"/>
      <c r="G78" s="110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2:19" ht="14.85" customHeight="1" x14ac:dyDescent="0.25">
      <c r="B79" s="34"/>
      <c r="C79" s="43"/>
      <c r="D79" s="35"/>
      <c r="E79" s="76" t="s">
        <v>22</v>
      </c>
      <c r="F79" s="19"/>
      <c r="G79" s="77">
        <v>27</v>
      </c>
      <c r="H79" s="78">
        <v>0</v>
      </c>
      <c r="I79" s="79">
        <v>0</v>
      </c>
      <c r="J79" s="80"/>
      <c r="K79" s="80"/>
      <c r="L79" s="80">
        <v>0</v>
      </c>
      <c r="M79" s="80">
        <v>0</v>
      </c>
      <c r="N79" s="80">
        <v>0</v>
      </c>
      <c r="O79" s="80">
        <v>1</v>
      </c>
      <c r="P79" s="80">
        <v>0</v>
      </c>
      <c r="Q79" s="80">
        <v>26</v>
      </c>
      <c r="R79" s="80">
        <v>0</v>
      </c>
      <c r="S79" s="81">
        <v>0</v>
      </c>
    </row>
    <row r="80" spans="2:19" ht="14.85" customHeight="1" x14ac:dyDescent="0.25">
      <c r="B80" s="26"/>
      <c r="C80" s="44"/>
      <c r="D80" s="18"/>
      <c r="E80" s="52" t="s">
        <v>23</v>
      </c>
      <c r="F80" s="19"/>
      <c r="G80" s="82">
        <v>41</v>
      </c>
      <c r="H80" s="83">
        <v>0</v>
      </c>
      <c r="I80" s="84">
        <v>0</v>
      </c>
      <c r="J80" s="85"/>
      <c r="K80" s="85"/>
      <c r="L80" s="85">
        <v>0</v>
      </c>
      <c r="M80" s="85">
        <v>0</v>
      </c>
      <c r="N80" s="85">
        <v>0</v>
      </c>
      <c r="O80" s="85"/>
      <c r="P80" s="85"/>
      <c r="Q80" s="85">
        <v>41</v>
      </c>
      <c r="R80" s="85">
        <v>0</v>
      </c>
      <c r="S80" s="86">
        <v>0</v>
      </c>
    </row>
    <row r="81" spans="2:19" ht="14.85" customHeight="1" x14ac:dyDescent="0.25">
      <c r="B81" s="26"/>
      <c r="C81" s="44"/>
      <c r="D81" s="18"/>
      <c r="E81" s="52" t="s">
        <v>13</v>
      </c>
      <c r="F81" s="19"/>
      <c r="G81" s="82">
        <v>632</v>
      </c>
      <c r="H81" s="83">
        <v>0</v>
      </c>
      <c r="I81" s="84">
        <v>0</v>
      </c>
      <c r="J81" s="85"/>
      <c r="K81" s="85"/>
      <c r="L81" s="85">
        <v>0</v>
      </c>
      <c r="M81" s="85">
        <v>450</v>
      </c>
      <c r="N81" s="85">
        <v>0</v>
      </c>
      <c r="O81" s="85"/>
      <c r="P81" s="85"/>
      <c r="Q81" s="85">
        <v>182</v>
      </c>
      <c r="R81" s="85">
        <v>0</v>
      </c>
      <c r="S81" s="87">
        <v>0</v>
      </c>
    </row>
    <row r="82" spans="2:19" ht="14.85" customHeight="1" x14ac:dyDescent="0.25">
      <c r="B82" s="26"/>
      <c r="C82" s="44"/>
      <c r="D82" s="18"/>
      <c r="E82" s="52" t="s">
        <v>53</v>
      </c>
      <c r="F82" s="19"/>
      <c r="G82" s="82">
        <v>0</v>
      </c>
      <c r="H82" s="83">
        <v>0</v>
      </c>
      <c r="I82" s="84">
        <v>0</v>
      </c>
      <c r="J82" s="85"/>
      <c r="K82" s="85"/>
      <c r="L82" s="85">
        <v>0</v>
      </c>
      <c r="M82" s="85">
        <v>0</v>
      </c>
      <c r="N82" s="85">
        <v>0</v>
      </c>
      <c r="O82" s="85"/>
      <c r="P82" s="85"/>
      <c r="Q82" s="85">
        <v>0</v>
      </c>
      <c r="R82" s="85">
        <v>0</v>
      </c>
      <c r="S82" s="88">
        <v>0</v>
      </c>
    </row>
    <row r="83" spans="2:19" ht="14.85" customHeight="1" x14ac:dyDescent="0.25">
      <c r="B83" s="26"/>
      <c r="C83" s="44"/>
      <c r="D83" s="18"/>
      <c r="E83" s="54" t="s">
        <v>127</v>
      </c>
      <c r="F83" s="19"/>
      <c r="G83" s="82">
        <v>31</v>
      </c>
      <c r="H83" s="83">
        <v>0</v>
      </c>
      <c r="I83" s="84">
        <v>0</v>
      </c>
      <c r="J83" s="85"/>
      <c r="K83" s="85"/>
      <c r="L83" s="85">
        <v>0</v>
      </c>
      <c r="M83" s="85">
        <v>0</v>
      </c>
      <c r="N83" s="85">
        <v>0</v>
      </c>
      <c r="O83" s="85"/>
      <c r="P83" s="85"/>
      <c r="Q83" s="85">
        <v>31</v>
      </c>
      <c r="R83" s="85">
        <v>0</v>
      </c>
      <c r="S83" s="88">
        <v>0</v>
      </c>
    </row>
    <row r="84" spans="2:19" ht="14.85" customHeight="1" x14ac:dyDescent="0.25">
      <c r="B84" s="26"/>
      <c r="C84" s="44"/>
      <c r="D84" s="18"/>
      <c r="E84" s="54" t="s">
        <v>123</v>
      </c>
      <c r="F84" s="19"/>
      <c r="G84" s="82">
        <v>0</v>
      </c>
      <c r="H84" s="83">
        <v>0</v>
      </c>
      <c r="I84" s="84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8">
        <v>0</v>
      </c>
    </row>
    <row r="85" spans="2:19" ht="14.85" customHeight="1" x14ac:dyDescent="0.25">
      <c r="B85" s="26"/>
      <c r="C85" s="44"/>
      <c r="D85" s="18"/>
      <c r="E85" s="52" t="s">
        <v>32</v>
      </c>
      <c r="F85" s="19"/>
      <c r="G85" s="82">
        <v>3401</v>
      </c>
      <c r="H85" s="83">
        <v>0</v>
      </c>
      <c r="I85" s="84">
        <v>0</v>
      </c>
      <c r="J85" s="85"/>
      <c r="K85" s="85"/>
      <c r="L85" s="85">
        <v>0</v>
      </c>
      <c r="M85" s="85">
        <v>2013</v>
      </c>
      <c r="N85" s="85">
        <v>300</v>
      </c>
      <c r="O85" s="85"/>
      <c r="P85" s="85"/>
      <c r="Q85" s="85">
        <v>1088</v>
      </c>
      <c r="R85" s="85">
        <v>0</v>
      </c>
      <c r="S85" s="88">
        <v>0</v>
      </c>
    </row>
    <row r="86" spans="2:19" ht="14.85" customHeight="1" x14ac:dyDescent="0.25">
      <c r="B86" s="26"/>
      <c r="C86" s="44"/>
      <c r="D86" s="18"/>
      <c r="E86" s="52" t="s">
        <v>31</v>
      </c>
      <c r="F86" s="19"/>
      <c r="G86" s="82">
        <v>545</v>
      </c>
      <c r="H86" s="83">
        <v>0</v>
      </c>
      <c r="I86" s="84">
        <v>0</v>
      </c>
      <c r="J86" s="85"/>
      <c r="K86" s="85"/>
      <c r="L86" s="85">
        <v>0</v>
      </c>
      <c r="M86" s="85">
        <v>0</v>
      </c>
      <c r="N86" s="85">
        <v>0</v>
      </c>
      <c r="O86" s="85">
        <v>545</v>
      </c>
      <c r="P86" s="85">
        <v>0</v>
      </c>
      <c r="Q86" s="85">
        <v>0</v>
      </c>
      <c r="R86" s="85">
        <v>0</v>
      </c>
      <c r="S86" s="88">
        <v>0</v>
      </c>
    </row>
    <row r="87" spans="2:19" ht="14.85" customHeight="1" x14ac:dyDescent="0.25">
      <c r="B87" s="26"/>
      <c r="C87" s="44"/>
      <c r="D87" s="18"/>
      <c r="E87" s="52" t="s">
        <v>24</v>
      </c>
      <c r="F87" s="19"/>
      <c r="G87" s="82">
        <v>1000</v>
      </c>
      <c r="H87" s="83">
        <v>0</v>
      </c>
      <c r="I87" s="84">
        <v>0</v>
      </c>
      <c r="J87" s="85"/>
      <c r="K87" s="85"/>
      <c r="L87" s="85">
        <v>0</v>
      </c>
      <c r="M87" s="85">
        <v>2</v>
      </c>
      <c r="N87" s="85">
        <v>0</v>
      </c>
      <c r="O87" s="85"/>
      <c r="P87" s="85"/>
      <c r="Q87" s="85">
        <v>998</v>
      </c>
      <c r="R87" s="85">
        <v>0</v>
      </c>
      <c r="S87" s="88">
        <v>0</v>
      </c>
    </row>
    <row r="88" spans="2:19" ht="14.85" customHeight="1" x14ac:dyDescent="0.25">
      <c r="B88" s="26"/>
      <c r="C88" s="44"/>
      <c r="D88" s="18"/>
      <c r="E88" s="52" t="s">
        <v>75</v>
      </c>
      <c r="F88" s="19"/>
      <c r="G88" s="82">
        <v>0</v>
      </c>
      <c r="H88" s="83">
        <v>0</v>
      </c>
      <c r="I88" s="84">
        <v>0</v>
      </c>
      <c r="J88" s="85"/>
      <c r="K88" s="85"/>
      <c r="L88" s="85">
        <v>0</v>
      </c>
      <c r="M88" s="85">
        <v>0</v>
      </c>
      <c r="N88" s="85">
        <v>0</v>
      </c>
      <c r="O88" s="85"/>
      <c r="P88" s="85"/>
      <c r="Q88" s="85">
        <v>0</v>
      </c>
      <c r="R88" s="85">
        <v>0</v>
      </c>
      <c r="S88" s="88">
        <v>0</v>
      </c>
    </row>
    <row r="89" spans="2:19" ht="14.85" customHeight="1" x14ac:dyDescent="0.25">
      <c r="B89" s="26"/>
      <c r="C89" s="44"/>
      <c r="D89" s="18"/>
      <c r="E89" s="52" t="s">
        <v>86</v>
      </c>
      <c r="F89" s="19"/>
      <c r="G89" s="82">
        <v>0</v>
      </c>
      <c r="H89" s="83">
        <v>0</v>
      </c>
      <c r="I89" s="84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8">
        <v>0</v>
      </c>
    </row>
    <row r="90" spans="2:19" ht="14.85" customHeight="1" x14ac:dyDescent="0.25">
      <c r="B90" s="26"/>
      <c r="C90" s="44"/>
      <c r="D90" s="18"/>
      <c r="E90" s="52" t="s">
        <v>87</v>
      </c>
      <c r="F90" s="19"/>
      <c r="G90" s="82">
        <v>0</v>
      </c>
      <c r="H90" s="83">
        <v>0</v>
      </c>
      <c r="I90" s="84">
        <v>0</v>
      </c>
      <c r="J90" s="85"/>
      <c r="K90" s="85"/>
      <c r="L90" s="85">
        <v>0</v>
      </c>
      <c r="M90" s="85">
        <v>0</v>
      </c>
      <c r="N90" s="85">
        <v>0</v>
      </c>
      <c r="O90" s="85"/>
      <c r="P90" s="85"/>
      <c r="Q90" s="85">
        <v>0</v>
      </c>
      <c r="R90" s="85">
        <v>0</v>
      </c>
      <c r="S90" s="88">
        <v>0</v>
      </c>
    </row>
    <row r="91" spans="2:19" ht="14.85" customHeight="1" x14ac:dyDescent="0.25">
      <c r="B91" s="26"/>
      <c r="C91" s="44"/>
      <c r="D91" s="18"/>
      <c r="E91" s="52" t="s">
        <v>36</v>
      </c>
      <c r="F91" s="19"/>
      <c r="G91" s="82">
        <v>0</v>
      </c>
      <c r="H91" s="83">
        <v>0</v>
      </c>
      <c r="I91" s="84">
        <v>0</v>
      </c>
      <c r="J91" s="85"/>
      <c r="K91" s="85"/>
      <c r="L91" s="85">
        <v>0</v>
      </c>
      <c r="M91" s="85">
        <v>0</v>
      </c>
      <c r="N91" s="85">
        <v>0</v>
      </c>
      <c r="O91" s="85"/>
      <c r="P91" s="85"/>
      <c r="Q91" s="85">
        <v>0</v>
      </c>
      <c r="R91" s="85">
        <v>0</v>
      </c>
      <c r="S91" s="86">
        <v>0</v>
      </c>
    </row>
    <row r="92" spans="2:19" ht="14.85" customHeight="1" x14ac:dyDescent="0.25">
      <c r="B92" s="26"/>
      <c r="C92" s="44"/>
      <c r="D92" s="18"/>
      <c r="E92" s="52" t="s">
        <v>14</v>
      </c>
      <c r="F92" s="19"/>
      <c r="G92" s="82">
        <v>1945</v>
      </c>
      <c r="H92" s="83">
        <v>0</v>
      </c>
      <c r="I92" s="84">
        <v>0</v>
      </c>
      <c r="J92" s="85">
        <v>0</v>
      </c>
      <c r="K92" s="85">
        <v>0</v>
      </c>
      <c r="L92" s="85">
        <v>0</v>
      </c>
      <c r="M92" s="85">
        <v>900</v>
      </c>
      <c r="N92" s="85">
        <v>0</v>
      </c>
      <c r="O92" s="85">
        <v>805</v>
      </c>
      <c r="P92" s="85">
        <v>0</v>
      </c>
      <c r="Q92" s="85">
        <v>240</v>
      </c>
      <c r="R92" s="85">
        <v>0</v>
      </c>
      <c r="S92" s="86">
        <v>0</v>
      </c>
    </row>
    <row r="93" spans="2:19" ht="14.85" customHeight="1" x14ac:dyDescent="0.25">
      <c r="B93" s="26"/>
      <c r="C93" s="44"/>
      <c r="D93" s="18"/>
      <c r="E93" s="52" t="s">
        <v>29</v>
      </c>
      <c r="F93" s="19"/>
      <c r="G93" s="82">
        <v>429</v>
      </c>
      <c r="H93" s="83">
        <v>0</v>
      </c>
      <c r="I93" s="84">
        <v>0</v>
      </c>
      <c r="J93" s="85">
        <v>0</v>
      </c>
      <c r="K93" s="85">
        <v>0</v>
      </c>
      <c r="L93" s="85">
        <v>0</v>
      </c>
      <c r="M93" s="85">
        <v>41</v>
      </c>
      <c r="N93" s="85">
        <v>0</v>
      </c>
      <c r="O93" s="85">
        <v>293</v>
      </c>
      <c r="P93" s="85">
        <v>0</v>
      </c>
      <c r="Q93" s="85">
        <v>95</v>
      </c>
      <c r="R93" s="85">
        <v>0</v>
      </c>
      <c r="S93" s="86">
        <v>0</v>
      </c>
    </row>
    <row r="94" spans="2:19" ht="14.85" customHeight="1" x14ac:dyDescent="0.25">
      <c r="B94" s="26"/>
      <c r="C94" s="44"/>
      <c r="D94" s="18"/>
      <c r="E94" s="52" t="s">
        <v>44</v>
      </c>
      <c r="F94" s="19"/>
      <c r="G94" s="82">
        <v>513</v>
      </c>
      <c r="H94" s="83">
        <v>0</v>
      </c>
      <c r="I94" s="84">
        <v>0</v>
      </c>
      <c r="J94" s="85"/>
      <c r="K94" s="85"/>
      <c r="L94" s="85">
        <v>0</v>
      </c>
      <c r="M94" s="85">
        <v>0</v>
      </c>
      <c r="N94" s="85">
        <v>0</v>
      </c>
      <c r="O94" s="85"/>
      <c r="P94" s="85"/>
      <c r="Q94" s="85">
        <v>513</v>
      </c>
      <c r="R94" s="85">
        <v>0</v>
      </c>
      <c r="S94" s="86">
        <v>0</v>
      </c>
    </row>
    <row r="95" spans="2:19" ht="14.85" customHeight="1" x14ac:dyDescent="0.25">
      <c r="B95" s="26"/>
      <c r="C95" s="44"/>
      <c r="D95" s="18"/>
      <c r="E95" s="54" t="s">
        <v>125</v>
      </c>
      <c r="F95" s="19"/>
      <c r="G95" s="82">
        <v>544</v>
      </c>
      <c r="H95" s="83">
        <v>0</v>
      </c>
      <c r="I95" s="84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544</v>
      </c>
      <c r="R95" s="85">
        <v>0</v>
      </c>
      <c r="S95" s="86">
        <v>0</v>
      </c>
    </row>
    <row r="96" spans="2:19" ht="14.85" customHeight="1" x14ac:dyDescent="0.25">
      <c r="B96" s="60"/>
      <c r="C96" s="44"/>
      <c r="D96" s="18"/>
      <c r="E96" s="52" t="s">
        <v>80</v>
      </c>
      <c r="F96" s="19"/>
      <c r="G96" s="82">
        <v>0</v>
      </c>
      <c r="H96" s="83">
        <v>0</v>
      </c>
      <c r="I96" s="84">
        <v>0</v>
      </c>
      <c r="J96" s="85"/>
      <c r="K96" s="85"/>
      <c r="L96" s="85">
        <v>0</v>
      </c>
      <c r="M96" s="85">
        <v>0</v>
      </c>
      <c r="N96" s="85">
        <v>0</v>
      </c>
      <c r="O96" s="85"/>
      <c r="P96" s="85"/>
      <c r="Q96" s="85">
        <v>0</v>
      </c>
      <c r="R96" s="85">
        <v>0</v>
      </c>
      <c r="S96" s="86">
        <v>0</v>
      </c>
    </row>
    <row r="97" spans="2:19" ht="14.85" customHeight="1" x14ac:dyDescent="0.25">
      <c r="B97" s="60"/>
      <c r="C97" s="45"/>
      <c r="D97" s="46"/>
      <c r="E97" s="53" t="s">
        <v>91</v>
      </c>
      <c r="F97" s="19"/>
      <c r="G97" s="89">
        <v>1018</v>
      </c>
      <c r="H97" s="90">
        <v>0</v>
      </c>
      <c r="I97" s="91">
        <v>0</v>
      </c>
      <c r="J97" s="92"/>
      <c r="K97" s="92"/>
      <c r="L97" s="92">
        <v>0</v>
      </c>
      <c r="M97" s="92">
        <v>0</v>
      </c>
      <c r="N97" s="92">
        <v>210</v>
      </c>
      <c r="O97" s="92"/>
      <c r="P97" s="92"/>
      <c r="Q97" s="92">
        <v>808</v>
      </c>
      <c r="R97" s="92">
        <v>0</v>
      </c>
      <c r="S97" s="93">
        <v>0</v>
      </c>
    </row>
    <row r="98" spans="2:19" ht="25.05" customHeight="1" x14ac:dyDescent="0.25">
      <c r="B98" s="136" t="s">
        <v>78</v>
      </c>
      <c r="C98" s="137"/>
      <c r="D98" s="137"/>
      <c r="E98" s="138"/>
      <c r="F98" s="22"/>
      <c r="G98" s="105">
        <v>10126</v>
      </c>
      <c r="H98" s="106">
        <v>0</v>
      </c>
      <c r="I98" s="107">
        <v>0</v>
      </c>
      <c r="J98" s="108">
        <v>0</v>
      </c>
      <c r="K98" s="108">
        <v>0</v>
      </c>
      <c r="L98" s="108">
        <v>0</v>
      </c>
      <c r="M98" s="108">
        <v>3406</v>
      </c>
      <c r="N98" s="108">
        <v>510</v>
      </c>
      <c r="O98" s="108">
        <v>1644</v>
      </c>
      <c r="P98" s="108">
        <v>0</v>
      </c>
      <c r="Q98" s="108">
        <v>4566</v>
      </c>
      <c r="R98" s="108">
        <v>0</v>
      </c>
      <c r="S98" s="109">
        <v>0</v>
      </c>
    </row>
    <row r="99" spans="2:19" ht="3.9" customHeight="1" x14ac:dyDescent="0.25">
      <c r="B99" s="22"/>
      <c r="C99" s="22"/>
      <c r="D99" s="22"/>
      <c r="E99" s="22"/>
      <c r="F99" s="22"/>
      <c r="G99" s="113"/>
      <c r="H99" s="114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 spans="2:19" s="21" customFormat="1" ht="14.85" customHeight="1" x14ac:dyDescent="0.25">
      <c r="B100" s="34"/>
      <c r="C100" s="43"/>
      <c r="D100" s="35"/>
      <c r="E100" s="51" t="s">
        <v>80</v>
      </c>
      <c r="F100" s="19"/>
      <c r="G100" s="77">
        <v>0</v>
      </c>
      <c r="H100" s="78">
        <v>0</v>
      </c>
      <c r="I100" s="79">
        <v>0</v>
      </c>
      <c r="J100" s="80"/>
      <c r="K100" s="80"/>
      <c r="L100" s="80">
        <v>0</v>
      </c>
      <c r="M100" s="80">
        <v>0</v>
      </c>
      <c r="N100" s="80">
        <v>0</v>
      </c>
      <c r="O100" s="80">
        <v>0</v>
      </c>
      <c r="P100" s="80">
        <v>0</v>
      </c>
      <c r="Q100" s="80">
        <v>0</v>
      </c>
      <c r="R100" s="80">
        <v>0</v>
      </c>
      <c r="S100" s="81">
        <v>0</v>
      </c>
    </row>
    <row r="101" spans="2:19" s="21" customFormat="1" ht="14.85" customHeight="1" x14ac:dyDescent="0.25">
      <c r="B101" s="26"/>
      <c r="C101" s="44"/>
      <c r="D101" s="18"/>
      <c r="E101" s="52" t="s">
        <v>91</v>
      </c>
      <c r="F101" s="19"/>
      <c r="G101" s="82">
        <v>23</v>
      </c>
      <c r="H101" s="83">
        <v>0</v>
      </c>
      <c r="I101" s="84">
        <v>0</v>
      </c>
      <c r="J101" s="85"/>
      <c r="K101" s="85"/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23</v>
      </c>
      <c r="R101" s="85">
        <v>0</v>
      </c>
      <c r="S101" s="86">
        <v>0</v>
      </c>
    </row>
    <row r="102" spans="2:19" s="21" customFormat="1" ht="14.85" customHeight="1" x14ac:dyDescent="0.25">
      <c r="B102" s="26"/>
      <c r="C102" s="44"/>
      <c r="D102" s="18"/>
      <c r="E102" s="52" t="s">
        <v>34</v>
      </c>
      <c r="F102" s="19"/>
      <c r="G102" s="82">
        <v>286</v>
      </c>
      <c r="H102" s="83">
        <v>254</v>
      </c>
      <c r="I102" s="84">
        <v>0</v>
      </c>
      <c r="J102" s="85">
        <v>0</v>
      </c>
      <c r="K102" s="85">
        <v>0</v>
      </c>
      <c r="L102" s="85">
        <v>26</v>
      </c>
      <c r="M102" s="85">
        <v>0</v>
      </c>
      <c r="N102" s="85">
        <v>0</v>
      </c>
      <c r="O102" s="85">
        <v>0</v>
      </c>
      <c r="P102" s="85">
        <v>6</v>
      </c>
      <c r="Q102" s="85">
        <v>0</v>
      </c>
      <c r="R102" s="85">
        <v>0</v>
      </c>
      <c r="S102" s="86">
        <v>0</v>
      </c>
    </row>
    <row r="103" spans="2:19" s="21" customFormat="1" ht="14.85" customHeight="1" x14ac:dyDescent="0.25">
      <c r="B103" s="26"/>
      <c r="C103" s="44"/>
      <c r="D103" s="18"/>
      <c r="E103" s="52" t="s">
        <v>57</v>
      </c>
      <c r="F103" s="19"/>
      <c r="G103" s="82">
        <v>0</v>
      </c>
      <c r="H103" s="83">
        <v>0</v>
      </c>
      <c r="I103" s="84">
        <v>0</v>
      </c>
      <c r="J103" s="85"/>
      <c r="K103" s="85"/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6">
        <v>0</v>
      </c>
    </row>
    <row r="104" spans="2:19" s="21" customFormat="1" ht="14.85" customHeight="1" x14ac:dyDescent="0.25">
      <c r="B104" s="26"/>
      <c r="C104" s="44"/>
      <c r="D104" s="18"/>
      <c r="E104" s="52" t="s">
        <v>90</v>
      </c>
      <c r="F104" s="19"/>
      <c r="G104" s="82">
        <v>0</v>
      </c>
      <c r="H104" s="83">
        <v>0</v>
      </c>
      <c r="I104" s="84">
        <v>0</v>
      </c>
      <c r="J104" s="85"/>
      <c r="K104" s="85"/>
      <c r="L104" s="85">
        <v>0</v>
      </c>
      <c r="M104" s="85">
        <v>0</v>
      </c>
      <c r="N104" s="85">
        <v>0</v>
      </c>
      <c r="O104" s="85"/>
      <c r="P104" s="85"/>
      <c r="Q104" s="85">
        <v>0</v>
      </c>
      <c r="R104" s="85">
        <v>0</v>
      </c>
      <c r="S104" s="86">
        <v>0</v>
      </c>
    </row>
    <row r="105" spans="2:19" s="21" customFormat="1" ht="14.85" customHeight="1" x14ac:dyDescent="0.25">
      <c r="B105" s="26"/>
      <c r="C105" s="44"/>
      <c r="D105" s="18"/>
      <c r="E105" s="52" t="s">
        <v>92</v>
      </c>
      <c r="F105" s="19"/>
      <c r="G105" s="82">
        <v>0</v>
      </c>
      <c r="H105" s="83">
        <v>0</v>
      </c>
      <c r="I105" s="84">
        <v>0</v>
      </c>
      <c r="J105" s="85"/>
      <c r="K105" s="85"/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6">
        <v>0</v>
      </c>
    </row>
    <row r="106" spans="2:19" s="21" customFormat="1" ht="14.85" customHeight="1" x14ac:dyDescent="0.25">
      <c r="B106" s="26"/>
      <c r="C106" s="44"/>
      <c r="D106" s="18"/>
      <c r="E106" s="52" t="s">
        <v>37</v>
      </c>
      <c r="F106" s="19"/>
      <c r="G106" s="82">
        <v>125</v>
      </c>
      <c r="H106" s="83">
        <v>0</v>
      </c>
      <c r="I106" s="84">
        <v>0</v>
      </c>
      <c r="J106" s="85"/>
      <c r="K106" s="85"/>
      <c r="L106" s="85">
        <v>0</v>
      </c>
      <c r="M106" s="85">
        <v>100</v>
      </c>
      <c r="N106" s="85">
        <v>0</v>
      </c>
      <c r="O106" s="85">
        <v>25</v>
      </c>
      <c r="P106" s="85">
        <v>0</v>
      </c>
      <c r="Q106" s="85">
        <v>0</v>
      </c>
      <c r="R106" s="85">
        <v>0</v>
      </c>
      <c r="S106" s="86">
        <v>0</v>
      </c>
    </row>
    <row r="107" spans="2:19" s="21" customFormat="1" ht="14.85" customHeight="1" x14ac:dyDescent="0.25">
      <c r="B107" s="26"/>
      <c r="C107" s="45"/>
      <c r="D107" s="46"/>
      <c r="E107" s="53" t="s">
        <v>38</v>
      </c>
      <c r="F107" s="19"/>
      <c r="G107" s="89">
        <v>0</v>
      </c>
      <c r="H107" s="90">
        <v>0</v>
      </c>
      <c r="I107" s="91">
        <v>0</v>
      </c>
      <c r="J107" s="92"/>
      <c r="K107" s="92"/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3">
        <v>0</v>
      </c>
    </row>
    <row r="108" spans="2:19" ht="25.05" customHeight="1" x14ac:dyDescent="0.25">
      <c r="B108" s="136" t="s">
        <v>35</v>
      </c>
      <c r="C108" s="137"/>
      <c r="D108" s="137"/>
      <c r="E108" s="138"/>
      <c r="F108" s="22"/>
      <c r="G108" s="94">
        <v>434</v>
      </c>
      <c r="H108" s="95">
        <v>254</v>
      </c>
      <c r="I108" s="96">
        <v>0</v>
      </c>
      <c r="J108" s="97">
        <v>0</v>
      </c>
      <c r="K108" s="97">
        <v>0</v>
      </c>
      <c r="L108" s="97">
        <v>26</v>
      </c>
      <c r="M108" s="97">
        <v>100</v>
      </c>
      <c r="N108" s="97">
        <v>0</v>
      </c>
      <c r="O108" s="97">
        <v>25</v>
      </c>
      <c r="P108" s="97">
        <v>6</v>
      </c>
      <c r="Q108" s="97">
        <v>23</v>
      </c>
      <c r="R108" s="97">
        <v>0</v>
      </c>
      <c r="S108" s="98">
        <v>0</v>
      </c>
    </row>
    <row r="109" spans="2:19" ht="3.9" customHeight="1" x14ac:dyDescent="0.25">
      <c r="B109" s="61"/>
      <c r="C109" s="61"/>
      <c r="D109" s="61"/>
      <c r="E109" s="61"/>
      <c r="F109" s="22"/>
      <c r="G109" s="112"/>
      <c r="H109" s="11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</row>
    <row r="110" spans="2:19" ht="19.95" customHeight="1" x14ac:dyDescent="0.25">
      <c r="B110" s="139" t="s">
        <v>4</v>
      </c>
      <c r="C110" s="140"/>
      <c r="D110" s="140"/>
      <c r="E110" s="141"/>
      <c r="F110" s="22"/>
      <c r="G110" s="115">
        <v>254411</v>
      </c>
      <c r="H110" s="116">
        <v>44831</v>
      </c>
      <c r="I110" s="117">
        <v>75003</v>
      </c>
      <c r="J110" s="118">
        <v>5623</v>
      </c>
      <c r="K110" s="118">
        <v>10393</v>
      </c>
      <c r="L110" s="118">
        <v>32368</v>
      </c>
      <c r="M110" s="118">
        <v>7492</v>
      </c>
      <c r="N110" s="118">
        <v>12844</v>
      </c>
      <c r="O110" s="118">
        <v>13438</v>
      </c>
      <c r="P110" s="118">
        <v>3793</v>
      </c>
      <c r="Q110" s="118">
        <v>13544</v>
      </c>
      <c r="R110" s="118">
        <v>27569</v>
      </c>
      <c r="S110" s="119">
        <v>7513</v>
      </c>
    </row>
    <row r="111" spans="2:19" ht="18" customHeight="1" x14ac:dyDescent="0.25">
      <c r="B111" s="142"/>
      <c r="C111" s="143"/>
      <c r="D111" s="144"/>
      <c r="E111" s="64" t="s">
        <v>45</v>
      </c>
      <c r="F111" s="22"/>
      <c r="G111" s="120">
        <v>14718</v>
      </c>
      <c r="H111" s="121">
        <v>881</v>
      </c>
      <c r="I111" s="122">
        <v>2033</v>
      </c>
      <c r="J111" s="123">
        <v>692</v>
      </c>
      <c r="K111" s="123">
        <v>14</v>
      </c>
      <c r="L111" s="123">
        <v>9210</v>
      </c>
      <c r="M111" s="123">
        <v>477</v>
      </c>
      <c r="N111" s="123">
        <v>143</v>
      </c>
      <c r="O111" s="123">
        <v>42</v>
      </c>
      <c r="P111" s="123">
        <v>45</v>
      </c>
      <c r="Q111" s="123">
        <v>625</v>
      </c>
      <c r="R111" s="123">
        <v>381</v>
      </c>
      <c r="S111" s="124">
        <v>175</v>
      </c>
    </row>
    <row r="112" spans="2:19" ht="12.9" customHeight="1" x14ac:dyDescent="0.2">
      <c r="B112" s="59" t="s">
        <v>76</v>
      </c>
      <c r="C112" s="15"/>
      <c r="D112" s="15"/>
      <c r="E112" s="23"/>
      <c r="F112" s="23"/>
      <c r="G112" s="15"/>
      <c r="H112" s="15"/>
      <c r="I112" s="15"/>
      <c r="J112" s="15"/>
      <c r="K112" s="59"/>
      <c r="L112" s="59"/>
      <c r="M112" s="15"/>
      <c r="N112" s="15"/>
      <c r="O112" s="15"/>
      <c r="P112" s="58"/>
      <c r="Q112" s="15"/>
      <c r="R112" s="15"/>
      <c r="S112" s="15"/>
    </row>
    <row r="113" spans="2:19" ht="12.9" customHeight="1" x14ac:dyDescent="0.2">
      <c r="B113" s="59"/>
      <c r="C113" s="15"/>
      <c r="D113" s="15"/>
      <c r="E113" s="16"/>
      <c r="F113" s="16"/>
      <c r="G113" s="15"/>
      <c r="H113" s="15"/>
      <c r="I113" s="15"/>
      <c r="J113" s="15"/>
      <c r="K113" s="59"/>
      <c r="L113" s="59"/>
      <c r="M113" s="59"/>
      <c r="N113" s="15"/>
      <c r="O113" s="15"/>
      <c r="P113" s="15"/>
      <c r="Q113" s="15"/>
      <c r="R113" s="15"/>
      <c r="S113" s="15"/>
    </row>
    <row r="114" spans="2:19" ht="11.25" customHeight="1" x14ac:dyDescent="0.25">
      <c r="C114" s="15"/>
      <c r="D114" s="15"/>
      <c r="E114" s="23"/>
      <c r="F114" s="2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2:19" ht="22.8" x14ac:dyDescent="0.25">
      <c r="B115" s="16"/>
      <c r="C115" s="15"/>
      <c r="D115" s="15"/>
      <c r="E115" s="23"/>
      <c r="F115" s="2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2:19" ht="22.8" x14ac:dyDescent="0.25">
      <c r="B116" s="16"/>
      <c r="C116" s="15"/>
      <c r="D116" s="15"/>
      <c r="E116" s="23"/>
      <c r="F116" s="2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2:19" ht="22.8" x14ac:dyDescent="0.25">
      <c r="B117" s="16"/>
      <c r="C117" s="15"/>
      <c r="D117" s="15"/>
      <c r="E117" s="23"/>
      <c r="F117" s="23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</sheetData>
  <mergeCells count="14">
    <mergeCell ref="B111:D111"/>
    <mergeCell ref="B77:E77"/>
    <mergeCell ref="B98:E98"/>
    <mergeCell ref="B108:E108"/>
    <mergeCell ref="B56:E56"/>
    <mergeCell ref="B44:E44"/>
    <mergeCell ref="B68:E68"/>
    <mergeCell ref="B75:E75"/>
    <mergeCell ref="B110:E110"/>
    <mergeCell ref="Q1:S1"/>
    <mergeCell ref="B4:E4"/>
    <mergeCell ref="B37:E37"/>
    <mergeCell ref="B50:E50"/>
    <mergeCell ref="B54:E54"/>
  </mergeCells>
  <phoneticPr fontId="2" type="noConversion"/>
  <conditionalFormatting sqref="S2">
    <cfRule type="cellIs" dxfId="0" priority="1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055658-978e-43b2-bfc9-eec157efd867" xsi:nil="true"/>
    <lcf76f155ced4ddcb4097134ff3c332f xmlns="db2d40b4-43c9-4295-8ebe-2cc6781de6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3D85B5B5653F2489CAAE3B6EC418735" ma:contentTypeVersion="19" ma:contentTypeDescription="새 문서를 만듭니다." ma:contentTypeScope="" ma:versionID="b46cb40b7748bd8198cd2f3c88b660a2">
  <xsd:schema xmlns:xsd="http://www.w3.org/2001/XMLSchema" xmlns:xs="http://www.w3.org/2001/XMLSchema" xmlns:p="http://schemas.microsoft.com/office/2006/metadata/properties" xmlns:ns2="db2d40b4-43c9-4295-8ebe-2cc6781de69d" xmlns:ns3="c0055658-978e-43b2-bfc9-eec157efd867" targetNamespace="http://schemas.microsoft.com/office/2006/metadata/properties" ma:root="true" ma:fieldsID="dc595684c71e73e84ea90b99cd4b0e7e" ns2:_="" ns3:_="">
    <xsd:import namespace="db2d40b4-43c9-4295-8ebe-2cc6781de69d"/>
    <xsd:import namespace="c0055658-978e-43b2-bfc9-eec157efd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d40b4-43c9-4295-8ebe-2cc6781de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55658-978e-43b2-bfc9-eec157efd86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b265b2b-bc0e-4a37-be93-6523e029cd87}" ma:internalName="TaxCatchAll" ma:showField="CatchAllData" ma:web="c0055658-978e-43b2-bfc9-eec157efd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521027-6D44-4439-B955-86C9A00FC71C}">
  <ds:schemaRefs>
    <ds:schemaRef ds:uri="http://purl.org/dc/elements/1.1/"/>
    <ds:schemaRef ds:uri="c0055658-978e-43b2-bfc9-eec157efd867"/>
    <ds:schemaRef ds:uri="http://purl.org/dc/dcmitype/"/>
    <ds:schemaRef ds:uri="http://purl.org/dc/terms/"/>
    <ds:schemaRef ds:uri="http://schemas.microsoft.com/office/2006/documentManagement/types"/>
    <ds:schemaRef ds:uri="db2d40b4-43c9-4295-8ebe-2cc6781de69d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F210B75-3922-4E4B-9EF3-B1F6A203C6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d40b4-43c9-4295-8ebe-2cc6781de69d"/>
    <ds:schemaRef ds:uri="c0055658-978e-43b2-bfc9-eec157efd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A5A342-8028-49C9-A3CD-4B93C1D46C1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211B702-3400-4B75-ADC0-DB74BCE777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26</vt:i4>
      </vt:variant>
    </vt:vector>
  </HeadingPairs>
  <TitlesOfParts>
    <vt:vector size="39" baseType="lpstr">
      <vt:lpstr>Total</vt:lpstr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July!Print_Area</vt:lpstr>
      <vt:lpstr>June!Print_Area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Apr!Print_Titles</vt:lpstr>
      <vt:lpstr>Aug!Print_Titles</vt:lpstr>
      <vt:lpstr>Dec!Print_Titles</vt:lpstr>
      <vt:lpstr>Feb!Print_Titles</vt:lpstr>
      <vt:lpstr>Jan!Print_Titles</vt:lpstr>
      <vt:lpstr>July!Print_Titles</vt:lpstr>
      <vt:lpstr>June!Print_Titles</vt:lpstr>
      <vt:lpstr>Mar!Print_Titles</vt:lpstr>
      <vt:lpstr>May!Print_Titles</vt:lpstr>
      <vt:lpstr>Nov!Print_Titles</vt:lpstr>
      <vt:lpstr>Oct!Print_Titles</vt:lpstr>
      <vt:lpstr>Sep!Print_Titles</vt:lpstr>
      <vt:lpstr>Total!Print_Titles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최대한 Max 매니저 IR팀</cp:lastModifiedBy>
  <cp:lastPrinted>2025-12-19T08:24:05Z</cp:lastPrinted>
  <dcterms:created xsi:type="dcterms:W3CDTF">2012-02-08T02:14:58Z</dcterms:created>
  <dcterms:modified xsi:type="dcterms:W3CDTF">2026-01-14T10:03:08Z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1800200.00000000</vt:lpwstr>
  </property>
  <property fmtid="{D5CDD505-2E9C-101B-9397-08002B2CF9AE}" pid="3" name="ContentTypeId">
    <vt:lpwstr>0x01010013D85B5B5653F2489CAAE3B6EC418735</vt:lpwstr>
  </property>
  <property fmtid="{D5CDD505-2E9C-101B-9397-08002B2CF9AE}" pid="4" name="MediaServiceImageTags">
    <vt:lpwstr/>
  </property>
  <property fmtid="{D5CDD505-2E9C-101B-9397-08002B2CF9AE}" pid="5" name="MSIP_Label_84883e49-c40c-4c70-af6e-4047d87bba49_Enabled">
    <vt:lpwstr>true</vt:lpwstr>
  </property>
  <property fmtid="{D5CDD505-2E9C-101B-9397-08002B2CF9AE}" pid="6" name="MSIP_Label_84883e49-c40c-4c70-af6e-4047d87bba49_SetDate">
    <vt:lpwstr>2025-08-13T07:59:55Z</vt:lpwstr>
  </property>
  <property fmtid="{D5CDD505-2E9C-101B-9397-08002B2CF9AE}" pid="7" name="MSIP_Label_84883e49-c40c-4c70-af6e-4047d87bba49_Method">
    <vt:lpwstr>Privileged</vt:lpwstr>
  </property>
  <property fmtid="{D5CDD505-2E9C-101B-9397-08002B2CF9AE}" pid="8" name="MSIP_Label_84883e49-c40c-4c70-af6e-4047d87bba49_Name">
    <vt:lpwstr>평문 (AnyUser)</vt:lpwstr>
  </property>
  <property fmtid="{D5CDD505-2E9C-101B-9397-08002B2CF9AE}" pid="9" name="MSIP_Label_84883e49-c40c-4c70-af6e-4047d87bba49_SiteId">
    <vt:lpwstr>f85ca5f1-aa23-4252-a83a-443d333b1fe7</vt:lpwstr>
  </property>
  <property fmtid="{D5CDD505-2E9C-101B-9397-08002B2CF9AE}" pid="10" name="MSIP_Label_84883e49-c40c-4c70-af6e-4047d87bba49_ActionId">
    <vt:lpwstr>0b62a32b-2694-4341-984a-b12b4cd021c7</vt:lpwstr>
  </property>
  <property fmtid="{D5CDD505-2E9C-101B-9397-08002B2CF9AE}" pid="11" name="MSIP_Label_84883e49-c40c-4c70-af6e-4047d87bba49_ContentBits">
    <vt:lpwstr>2</vt:lpwstr>
  </property>
  <property fmtid="{D5CDD505-2E9C-101B-9397-08002B2CF9AE}" pid="12" name="MSIP_Label_84883e49-c40c-4c70-af6e-4047d87bba49_Tag">
    <vt:lpwstr>10, 0, 1, 1</vt:lpwstr>
  </property>
</Properties>
</file>